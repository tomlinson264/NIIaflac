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toml\Downloads\"/>
    </mc:Choice>
  </mc:AlternateContent>
  <xr:revisionPtr revIDLastSave="0" documentId="8_{0DB4361E-1B84-4EB8-B580-7AF45C221791}" xr6:coauthVersionLast="47" xr6:coauthVersionMax="47" xr10:uidLastSave="{00000000-0000-0000-0000-000000000000}"/>
  <bookViews>
    <workbookView xWindow="-38520" yWindow="-225" windowWidth="38640" windowHeight="21240" tabRatio="500" activeTab="1" xr2:uid="{00000000-000D-0000-FFFF-FFFF00000000}"/>
  </bookViews>
  <sheets>
    <sheet name="Instructions" sheetId="1" r:id="rId1"/>
    <sheet name="Summary" sheetId="2" r:id="rId2"/>
    <sheet name="1Q" sheetId="3" r:id="rId3"/>
    <sheet name="2Q" sheetId="4" r:id="rId4"/>
    <sheet name="3Q" sheetId="5" r:id="rId5"/>
    <sheet name="4Q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1" i="2" l="1"/>
  <c r="F10" i="2"/>
  <c r="D16" i="2"/>
  <c r="D6" i="2"/>
  <c r="F6" i="2" s="1"/>
  <c r="D5" i="2"/>
  <c r="F11" i="2"/>
  <c r="E22" i="2"/>
  <c r="D22" i="2"/>
  <c r="C22" i="2"/>
  <c r="B22" i="2"/>
  <c r="F22" i="2" s="1"/>
  <c r="E21" i="2"/>
  <c r="C21" i="2"/>
  <c r="B21" i="2"/>
  <c r="E20" i="2"/>
  <c r="D20" i="2"/>
  <c r="C20" i="2"/>
  <c r="B20" i="2"/>
  <c r="F20" i="2" s="1"/>
  <c r="E19" i="2"/>
  <c r="D19" i="2"/>
  <c r="C19" i="2"/>
  <c r="B19" i="2"/>
  <c r="F19" i="2" s="1"/>
  <c r="E18" i="2"/>
  <c r="D18" i="2"/>
  <c r="C18" i="2"/>
  <c r="F18" i="2" s="1"/>
  <c r="B18" i="2"/>
  <c r="E17" i="2"/>
  <c r="D17" i="2"/>
  <c r="C17" i="2"/>
  <c r="F17" i="2" s="1"/>
  <c r="B17" i="2"/>
  <c r="E16" i="2"/>
  <c r="C16" i="2"/>
  <c r="B16" i="2"/>
  <c r="E15" i="2"/>
  <c r="D15" i="2"/>
  <c r="C15" i="2"/>
  <c r="B15" i="2"/>
  <c r="F15" i="2" s="1"/>
  <c r="E14" i="2"/>
  <c r="D14" i="2"/>
  <c r="C14" i="2"/>
  <c r="B14" i="2"/>
  <c r="F14" i="2" s="1"/>
  <c r="E13" i="2"/>
  <c r="D13" i="2"/>
  <c r="C13" i="2"/>
  <c r="B13" i="2"/>
  <c r="F13" i="2" s="1"/>
  <c r="E12" i="2"/>
  <c r="D12" i="2"/>
  <c r="C12" i="2"/>
  <c r="B12" i="2"/>
  <c r="F12" i="2" s="1"/>
  <c r="E11" i="2"/>
  <c r="D11" i="2"/>
  <c r="C11" i="2"/>
  <c r="B11" i="2"/>
  <c r="E10" i="2"/>
  <c r="D10" i="2"/>
  <c r="C10" i="2"/>
  <c r="B10" i="2"/>
  <c r="E9" i="2"/>
  <c r="D9" i="2"/>
  <c r="C9" i="2"/>
  <c r="B9" i="2"/>
  <c r="F9" i="2" s="1"/>
  <c r="E8" i="2"/>
  <c r="D8" i="2"/>
  <c r="C8" i="2"/>
  <c r="B8" i="2"/>
  <c r="F8" i="2" s="1"/>
  <c r="F7" i="2"/>
  <c r="E7" i="2"/>
  <c r="D7" i="2"/>
  <c r="C7" i="2"/>
  <c r="B7" i="2"/>
  <c r="E6" i="2"/>
  <c r="C6" i="2"/>
  <c r="B6" i="2"/>
  <c r="E5" i="2"/>
  <c r="E23" i="2" s="1"/>
  <c r="E25" i="2" s="1"/>
  <c r="C5" i="2"/>
  <c r="C23" i="2" s="1"/>
  <c r="C25" i="2" s="1"/>
  <c r="B5" i="2"/>
  <c r="B23" i="2" s="1"/>
  <c r="B25" i="2" s="1"/>
  <c r="F21" i="2" l="1"/>
  <c r="F16" i="2"/>
  <c r="D23" i="2"/>
  <c r="D25" i="2" s="1"/>
  <c r="F5" i="2"/>
  <c r="F23" i="2" s="1"/>
</calcChain>
</file>

<file path=xl/sharedStrings.xml><?xml version="1.0" encoding="utf-8"?>
<sst xmlns="http://schemas.openxmlformats.org/spreadsheetml/2006/main" count="1471" uniqueCount="263">
  <si>
    <t>Possible solution</t>
  </si>
  <si>
    <t>Setup report to generate automatically each quarter emailed to FCM</t>
  </si>
  <si>
    <t>Drop copy of report in the appropriate tab</t>
  </si>
  <si>
    <t>Have formulas setup to summarize each company</t>
  </si>
  <si>
    <t>Populate summary tab</t>
  </si>
  <si>
    <t>2026 Net Interest Income by Company Code</t>
  </si>
  <si>
    <t>Paste each quarterly Kyriba report (INTEREST_INC) unchanged into its QX tab; this tab sums column F by company code.</t>
  </si>
  <si>
    <t>Company</t>
  </si>
  <si>
    <t>1Q</t>
  </si>
  <si>
    <t>2Q</t>
  </si>
  <si>
    <t>3Q</t>
  </si>
  <si>
    <t>4Q</t>
  </si>
  <si>
    <t>2026 Total</t>
  </si>
  <si>
    <t>1000</t>
  </si>
  <si>
    <t>1000 INC STI</t>
  </si>
  <si>
    <t>1012</t>
  </si>
  <si>
    <t>1100</t>
  </si>
  <si>
    <t>1200</t>
  </si>
  <si>
    <t>1400</t>
  </si>
  <si>
    <t>1500</t>
  </si>
  <si>
    <t>1800</t>
  </si>
  <si>
    <t>1810</t>
  </si>
  <si>
    <t>1825</t>
  </si>
  <si>
    <t>1840</t>
  </si>
  <si>
    <t>2200</t>
  </si>
  <si>
    <t>2400</t>
  </si>
  <si>
    <t>2500</t>
  </si>
  <si>
    <t>2560</t>
  </si>
  <si>
    <t>2600</t>
  </si>
  <si>
    <t>2810</t>
  </si>
  <si>
    <t>2900</t>
  </si>
  <si>
    <t>Grand Total</t>
  </si>
  <si>
    <t>Check: tab total less summary (s/b 0)</t>
  </si>
  <si>
    <t>Notes</t>
  </si>
  <si>
    <t>Company 1000 excludes the account below; that account is reported on the "1000 INC STI" line.</t>
  </si>
  <si>
    <t>Account split out of 1000:</t>
  </si>
  <si>
    <t>1000JPMUS222</t>
  </si>
  <si>
    <t>A non-zero check means a tab has amounts under a company code not listed above - add a row for it.</t>
  </si>
  <si>
    <t>!Q</t>
  </si>
  <si>
    <t>Report name: Cash flow ledger</t>
  </si>
  <si>
    <t>Template: Interest Income(INTEREST_INC)</t>
  </si>
  <si>
    <t>Cash flow ledger</t>
  </si>
  <si>
    <t>Time: 10/22/2026 - 4:32:39 PM</t>
  </si>
  <si>
    <t>From: 07/01/2026 to 09/30/2026</t>
  </si>
  <si>
    <t>Date type: Value date</t>
  </si>
  <si>
    <t>Separate ledger: No: unique ledger</t>
  </si>
  <si>
    <t>Order by: Company/Budget code/None</t>
  </si>
  <si>
    <t>Amounts: In unit</t>
  </si>
  <si>
    <t>Currency</t>
  </si>
  <si>
    <t xml:space="preserve">Amount range:  </t>
  </si>
  <si>
    <t xml:space="preserve">Reference range:  </t>
  </si>
  <si>
    <t>Origin: All</t>
  </si>
  <si>
    <t>Flow status: AC</t>
  </si>
  <si>
    <t>Entity: Multiple</t>
  </si>
  <si>
    <t>Account</t>
  </si>
  <si>
    <t>Budget</t>
  </si>
  <si>
    <t>Value date</t>
  </si>
  <si>
    <t>Flow amount (currency)</t>
  </si>
  <si>
    <t>Flow amount (value)</t>
  </si>
  <si>
    <t>Description</t>
  </si>
  <si>
    <t>+INT_INC</t>
  </si>
  <si>
    <t>07/01/2026</t>
  </si>
  <si>
    <t>+USD</t>
  </si>
  <si>
    <t>YOUR REF=CAP OF 26/07/01,REC FROM=00000000323363792 DST ASSET MANAGER SOLUTIONS, INC. A/A/F JPM FUNDS FOR JPMORGAN 2000 CROWN COLONY DR QUINCY MA 02169-0953 US,B/O CUSTOMER=0002430/00005023346 AFLAC INCORPORATED ATTN CORPORATE TREASURY 1932 WYNNTON RD,REMARK=COLUMBUS GA 31999-0001 DEBIT REF 0129140745180107,REC GFP=07011319</t>
  </si>
  <si>
    <t>1000JPMUS269</t>
  </si>
  <si>
    <t>REMARK=NEXT DAY INTEREST PAYMENT FROM ACCOUNT   000000550381344</t>
  </si>
  <si>
    <t>YOUR REF=NOTPROVIDED,REC FROM=00000000066001633 J.P. MORGAN SECURITIES LLC 383 MADISON AVE NEW YORK NY 10179-0001 US,B/O CUSTOMER=/7528076412 AFLAC INCORPORATED ATTN: CORPORATE FINANCE 1932 WYNNTON ROAD COLUMBUS GA31999-0002,B/O BANK=J.P. MORGAN SECURITIES LLC 383 MADISON AVENUE NEW YORK NY US,REMARK=ICD DIVIDEND /OCMT/USD1552481,51/ DEBIT REF 2607010591100001,REC GFP=07011647</t>
  </si>
  <si>
    <t>YOUR REF=NOTPROVIDED,REC FROM=00000000066001633 J.P. MORGAN SECURITIES LLC 383 MADISON AVE NEW YORK NY 10179-0001 US,B/O CUSTOMER=/7528149219 AFLAC INCORPORATED ST INVESTMENTS (AFLSTI) 1932 WYNNTON ROAD COLUMBUS GA31999-0002,B/O BANK=J.P. MORGAN SECURITIES LLC 383 MADISON AVENUE NEW YORK NY US,REMARK=ICD DIVIDEND /OCMT/USD1034525,36/ DEBIT REF 2607010601300001,REC GFP=07011652</t>
  </si>
  <si>
    <t>REMARK=NEXT DAY INTEREST PAYMENT FROM ACCOUNT   000000639688222</t>
  </si>
  <si>
    <t>REMARK=NEXT DAY INTEREST PAYMENT FROM ACCOUNT   000000550378878</t>
  </si>
  <si>
    <t>REMARK=NEXT DAY INTEREST PAYMENT FROM ACCOUNT   000000890456759</t>
  </si>
  <si>
    <t>REMARK=NEXT DAY INTEREST PAYMENT FROM ACCOUNT   000000890456775</t>
  </si>
  <si>
    <t>REMARK=NEXT DAY INTEREST PAYMENT FROM ACCOUNT   000000773092231</t>
  </si>
  <si>
    <t>REMARK=NEXT DAY INTEREST PAYMENT FROM ACCOUNT   000000550378910</t>
  </si>
  <si>
    <t>1000CITUS498</t>
  </si>
  <si>
    <t>FR:INTERESTENDT:20260701TRID:NONREFPY:INTEREST ON DEMAND DEPOSIT ACCOUNT AVAILABLE BALANCE</t>
  </si>
  <si>
    <t>07/02/2026</t>
  </si>
  <si>
    <t>YOUR REF=NOTPROVIDED,REC FROM=00000000066001633 J.P. MORGAN SECURITIES LLC 383 MADISON AVE NEW YORK NY 10179-0001 US,B/O CUSTOMER=/7528076412 AFLAC INCORPORATED ATTN: CORPORATE FINANCE 1932 WYNNTON ROAD COLUMBUS GA31999-0002,B/O BANK=J.P. MORGAN SECURITIES LLC 383 MADISON AVENUE NEW YORK NY US,REMARK=ICD DIVIDEND /OCMT/USD17750,09/ DEBIT REF 2607020582500001,REC GFP=07022014</t>
  </si>
  <si>
    <t>07/07/2026</t>
  </si>
  <si>
    <t>YOUR REF=NOTPROVIDED,REC FROM=00000000066001633 J.P. MORGAN SECURITIES LLC 383 MADISON AVE NEW YORK NY 10179-0001 US,B/O CUSTOMER=/7528149219 AFLAC INCORPORATED ST INVESTMENTS (AFLSTI) 1932 WYNNTON ROAD COLUMBUS GA31999-0002,B/O BANK=J.P. MORGAN SECURITIES LLC 383 MADISON AVENUE NEW YORK NY US,REMARK=ICD DIVIDEND /OCMT/USD28230,47/ DEBIT REF 2607071816400001,REC GFP=07071617</t>
  </si>
  <si>
    <t>YOUR REF=NOTPROVIDED,REC FROM=00000000066001633 J.P. MORGAN SECURITIES LLC 383 MADISON AVE NEW YORK NY 10179-0001 US,B/O CUSTOMER=/7528149219 AFLAC INCORPORATED ST INVESTMENTS (AFLSTI) 1932 WYNNTON ROAD COLUMBUS GA31999-0002,B/O BANK=J.P. MORGAN SECURITIES LLC 383 MADISON AVENUE NEW YORK NY US,REMARK=ICD DIVIDEND /OCMT/USD17627,67/ DEBIT REF 2607071816100001,REC GFP=07071617</t>
  </si>
  <si>
    <t>1000PNCUS489</t>
  </si>
  <si>
    <t>07/08/2026</t>
  </si>
  <si>
    <t>INTEREST PAYMENT</t>
  </si>
  <si>
    <t>07/16/2026</t>
  </si>
  <si>
    <t>07/22/2026</t>
  </si>
  <si>
    <t>YOUR REF=NOTPROVIDED,REC FROM=00000000066001633 J.P. MORGAN SECURITIES LLC 383 MADISON AVE NEW YORK NY 10179-0001 US,B/O CUSTOMER=/7528149219 AFLAC INCORPORATED ST INVESTMENTS (AFLSTI) 1932 WYNNTON ROAD COLUMBUS GA31999-0002,B/O BANK=J.P. MORGAN SECURITIES LLC 383 MADISON AVENUE NEW YORK NY US,REMARK=ICD DIVIDEND /OCMT/USD32329,61/ DEBIT REF 2607220892600001,REC GFP=07222032</t>
  </si>
  <si>
    <t>YOUR REF=NOTPROVIDED,REC FROM=00000000066001633 J.P. MORGAN SECURITIES LLC 383 MADISON AVE NEW YORK NY 10179-0001 US,B/O CUSTOMER=/7528149219 AFLAC INCORPORATED ST INVESTMENTS (AFLSTI) 1932 WYNNTON ROAD COLUMBUS GA31999-0002,B/O BANK=J.P. MORGAN SECURITIES LLC 383 MADISON AVENUE NEW YORK NY US,REMARK=ICD DIVIDEND /OCMT/USD35358,76/ DEBIT REF 2607220893200001,REC GFP=07222032</t>
  </si>
  <si>
    <t>07/24/2026</t>
  </si>
  <si>
    <t>07/31/2026</t>
  </si>
  <si>
    <t>08/01/2026</t>
  </si>
  <si>
    <t>FR:INTERESTENDT:20260803TRID:NONREFPY:INTEREST ON DEMAND DEPOSIT ACCOUNT AVAILABLE BALANCE</t>
  </si>
  <si>
    <t>08/03/2026</t>
  </si>
  <si>
    <t>YOUR REF=CAP OF 26/08/03,REC FROM=00000000323363792 DST ASSET MANAGER SOLUTIONS, INC. A/A/F JPM FUNDS FOR JPMORGAN 2000 CROWN COLONY DR QUINCY MA 02169-0953 US,B/O CUSTOMER=0002430/00005023346 AFLAC INCORPORATED ATTN CORPORATE TREASURY 1932 WYNNTON RD,REMARK=COLUMBUS GA 31999-0001 DEBIT REF 0803193135180308,REC GFP=08031316</t>
  </si>
  <si>
    <t>YOUR REF=NOTPROVIDED,REC FROM=00000000066001633 J.P. MORGAN SECURITIES LLC 383 MADISON AVE NEW YORK NY 10179-0001 US,B/O CUSTOMER=/7528149219 AFLAC INCORPORATED ST INVESTMENTS (AFLSTI) 1932 WYNNTON ROAD COLUMBUS GA31999-0002,B/O BANK=J.P. MORGAN SECURITIES LLC 383 MADISON AVENUE NEW YORK NY US,REMARK=ICD DIVIDEND /OCMT/USD1511607,12/ DEBIT REF 2608030421500001,REC GFP=08031617</t>
  </si>
  <si>
    <t>YOUR REF=NOTPROVIDED,REC FROM=00000000066001633 J.P. MORGAN SECURITIES LLC 383 MADISON AVE NEW YORK NY 10179-0001 US,B/O CUSTOMER=/7528076412 AFLAC INCORPORATED ATTN: CORPORATE FINANCE 1932 WYNNTON ROAD COLUMBUS GA31999-0002,B/O BANK=J.P. MORGAN SECURITIES LLC 383 MADISON AVENUE NEW YORK NY US,REMARK=ICD DIVIDEND /OCMT/USD3250927,46/ DEBIT REF 2608030415900001,REC GFP=08031612</t>
  </si>
  <si>
    <t>08/04/2026</t>
  </si>
  <si>
    <t>YOUR REF=NOTPROVIDED,REC FROM=00000000066001633 J.P. MORGAN SECURITIES LLC 383 MADISON AVE NEW YORK NY 10179-0001 US,B/O CUSTOMER=/7528149219 AFLAC INCORPORATED ST INVESTMENTS (AFLSTI) 1932 WYNNTON ROAD COLUMBUS GA31999-0002,B/O BANK=J.P. MORGAN SECURITIES LLC 383 MADISON AVENUE NEW YORK NY US,REMARK=ICD DIVIDEND /OCMT/USD792,97/ DEBIT REF 2608042060600001,REC GFP=08042002</t>
  </si>
  <si>
    <t>YOUR REF=NOTPROVIDED,REC FROM=00000000066001633 J.P. MORGAN SECURITIES LLC 383 MADISON AVE NEW YORK NY 10179-0001 US,B/O CUSTOMER=/7528076412 AFLAC INCORPORATED ATTN: CORPORATE FINANCE 1932 WYNNTON ROAD COLUMBUS GA31999-0002,B/O BANK=J.P. MORGAN SECURITIES LLC 383 MADISON AVENUE NEW YORK NY US,REMARK=ICD DIVIDEND /OCMT/USD4936,1/ DEBIT REF 2608042073900001,REC GFP=08042022</t>
  </si>
  <si>
    <t>YOUR REF=NOTPROVIDED,REC FROM=00000000066001633 J.P. MORGAN SECURITIES LLC 383 MADISON AVE NEW YORK NY 10179-0001 US,B/O CUSTOMER=/7528149219 AFLAC INCORPORATED ST INVESTMENTS (AFLSTI) 1932 WYNNTON ROAD COLUMBUS GA31999-0002,B/O BANK=J.P. MORGAN SECURITIES LLC 383 MADISON AVENUE NEW YORK NY US,REMARK=ICD DIVIDEND /OCMT/USD9516,69/ DEBIT REF 2608042059800001,REC GFP=08042003</t>
  </si>
  <si>
    <t>YOUR REF=NOTPROVIDED,REC FROM=00000000066001633 J.P. MORGAN SECURITIES LLC 383 MADISON AVE NEW YORK NY 10179-0001 US,B/O CUSTOMER=/7528149219 AFLAC INCORPORATED ST INVESTMENTS (AFLSTI) 1932 WYNNTON ROAD COLUMBUS GA31999-0002,B/O BANK=J.P. MORGAN SECURITIES LLC 383 MADISON AVENUE NEW YORK NY US,REMARK=ICD DIVIDEND /OCMT/USD1189,39/ DEBIT REF 2608042061100001,REC GFP=08042003</t>
  </si>
  <si>
    <t>08/06/2026</t>
  </si>
  <si>
    <t>YOUR REF=NOTPROVIDED,REC FROM=00000000066001633 J.P. MORGAN SECURITIES LLC 383 MADISON AVE NEW YORK NY 10179-0001 US,B/O CUSTOMER=/7528149219 AFLAC INCORPORATED ST INVESTMENTS (AFLSTI) 1932 WYNNTON ROAD COLUMBUS GA31999-0002,B/O BANK=J.P. MORGAN SECURITIES LLC 383 MADISON AVENUE NEW YORK NY US,REMARK=ICD DIVIDEND /OCMT/USD3254,72/ DEBIT REF 2608060170400001,REC GFP=08061422</t>
  </si>
  <si>
    <t>08/07/2026</t>
  </si>
  <si>
    <t>08/17/2026</t>
  </si>
  <si>
    <t>08/25/2026</t>
  </si>
  <si>
    <t>08/26/2026</t>
  </si>
  <si>
    <t>YOUR REF=NOTPROVIDED,REC FROM=00000000066001633 J.P. MORGAN SECURITIES LLC 383 MADISON AVE NEW YORK NY 10179-0001 US,B/O CUSTOMER=/7528076412 AFLAC INCORPORATED ATTN: CORPORATE FINANCE 1932 WYNNTON ROAD COLUMBUS GA31999-0002,B/O BANK=J.P. MORGAN SECURITIES LLC 383 MADISON AVENUE NEW YORK NY US,REMARK=ICD DIVIDEND /OCMT/USD49980,36/ DEBIT REF 2608260323500001,REC GFP=08261603</t>
  </si>
  <si>
    <t>08/31/2026</t>
  </si>
  <si>
    <t>09/01/2026</t>
  </si>
  <si>
    <t>FR:INTERESTENDT:20260901TRID:NONREFPY:INTEREST ON DEMAND DEPOSIT ACCOUNT AVAILABLE BALANCE</t>
  </si>
  <si>
    <t>YOUR REF=NOTPROVIDED,REC FROM=00000000066001633 J.P. MORGAN SECURITIES LLC 383 MADISON AVE NEW YORK NY 10179-0001 US,B/O CUSTOMER=/7528076412 AFLAC INCORPORATED ATTN: CORPORATE FINANCE 1932 WYNNTON ROAD COLUMBUS GA31999-0002,B/O BANK=J.P. MORGAN SECURITIES LLC 383 MADISON AVENUE NEW YORK NY US,REMARK=ICD DIVIDEND /OCMT/USD2435170,44/ DEBIT REF 2609011748700001,REC GFP=09012037</t>
  </si>
  <si>
    <t>YOUR REF=NOTPROVIDED,REC FROM=00000000066001633 J.P. MORGAN SECURITIES LLC 383 MADISON AVE NEW YORK NY 10179-0001 US,B/O CUSTOMER=/7528149219 AFLAC INCORPORATED ST INVESTMENTS (AFLSTI) 1932 WYNNTON ROAD COLUMBUS GA31999-0002,B/O BANK=J.P. MORGAN SECURITIES LLC 383 MADISON AVENUE NEW YORK NY US,REMARK=ICD DIVIDEND /OCMT/USD1249895,13/ DEBIT REF 2609011496000001,REC GFP=09011602</t>
  </si>
  <si>
    <t>YOUR REF=CAP OF 26/09/01,REC FROM=00000000323363792 DST ASSET MANAGER SOLUTIONS, INC. A/A/F JPM FUNDS FOR JPMORGAN 2000 CROWN COLONY DR QUINCY MA 02169-0953 US,B/O CUSTOMER=0002430/00005023346 AFLAC INCORPORATED ATTN CORPORATE TREASURY 1932 WYNNTON RD,REMARK=COLUMBUS GA 31999-0001 DEBIT REF 0957701945180109,REC GFP=09011317</t>
  </si>
  <si>
    <t>09/02/2026</t>
  </si>
  <si>
    <t>YOUR REF=NOTPROVIDED,REC FROM=00000000066001633 J.P. MORGAN SECURITIES LLC 383 MADISON AVE NEW YORK NY 10179-0001 US,B/O CUSTOMER=/7528076412 AFLAC INCORPORATED ATTN: CORPORATE FINANCE 1932 WYNNTON ROAD COLUMBUS GA31999-0002,B/O BANK=J.P. MORGAN SECURITIES LLC 383 MADISON AVENUE NEW YORK NY US,REMARK=ICD DIVIDEND /OCMT/USD48227,03/ DEBIT REF 2609020196400001,REC GFP=09021438</t>
  </si>
  <si>
    <t>09/08/2026</t>
  </si>
  <si>
    <t>YOUR REF=NOTPROVIDED,REC FROM=00000000066001633 J.P. MORGAN SECURITIES LLC 383 MADISON AVE NEW YORK NY 10179-0001 US,B/O CUSTOMER=/7528076412 AFLAC INCORPORATED ATTN: CORPORATE FINANCE 1932 WYNNTON ROAD COLUMBUS GA31999-0002,B/O BANK=J.P. MORGAN SECURITIES LLC 383 MADISON AVENUE NEW YORK NY US,REMARK=ICD DIVIDEND /OCMT/USD4562,83/ DEBIT REF 2609080555300001,REC GFP=09082029</t>
  </si>
  <si>
    <t>09/16/2026</t>
  </si>
  <si>
    <t>09/17/2026</t>
  </si>
  <si>
    <t>YOUR REF=NOTPROVIDED,REC FROM=00000000066001633 J.P. MORGAN SECURITIES LLC 383 MADISON AVE NEW YORK NY 10179-0001 US,B/O CUSTOMER=/7528149219 AFLAC INCORPORATED ST INVESTMENTS (AFLSTI) 1932 WYNNTON ROAD COLUMBUS GA31999-0002,B/O BANK=J.P. MORGAN SECURITIES LLC 383 MADISON AVENUE NEW YORK NY US,REMARK=ICD DIVIDEND /OCMT/USD3105,85/ DEBIT REF 2609170210200001,REC GFP=09171526</t>
  </si>
  <si>
    <t>YOUR REF=NOTPROVIDED,REC FROM=00000000066001633 J.P. MORGAN SECURITIES LLC 383 MADISON AVE NEW YORK NY 10179-0001 US,B/O CUSTOMER=/7528149219 AFLAC INCORPORATED ST INVESTMENTS (AFLSTI) 1932 WYNNTON ROAD COLUMBUS GA31999-0002,B/O BANK=J.P. MORGAN SECURITIES LLC 383 MADISON AVENUE NEW YORK NY US,REMARK=ICD DIVIDEND /OCMT/USD13219,29/ DEBIT REF 2609170211300001,REC GFP=09171526</t>
  </si>
  <si>
    <t>YOUR REF=NOTPROVIDED,REC FROM=00000000066001633 J.P. MORGAN SECURITIES LLC 383 MADISON AVE NEW YORK NY 10179-0001 US,B/O CUSTOMER=/7528149219 AFLAC INCORPORATED ST INVESTMENTS (AFLSTI) 1932 WYNNTON ROAD COLUMBUS GA31999-0002,B/O BANK=J.P. MORGAN SECURITIES LLC 383 MADISON AVENUE NEW YORK NY US,REMARK=ICD DIVIDEND /OCMT/USD59015,53/ DEBIT REF 2609170270500001,REC GFP=09171700</t>
  </si>
  <si>
    <t>09/23/2026</t>
  </si>
  <si>
    <t>09/30/2026</t>
  </si>
  <si>
    <t>Company 1000</t>
  </si>
  <si>
    <t>D:-USD 0</t>
  </si>
  <si>
    <t>Fee.</t>
  </si>
  <si>
    <t>1012JPMUS900</t>
  </si>
  <si>
    <t>YOUR REF=NOTPROVIDED,REC FROM=00000000066001633 J.P. MORGAN SECURITIES LLC 383 MADISON AVE NEW YORK NY 10179-0001 US,B/O CUSTOMER=/7528157618 AFLAC GI HOLDINGS LLC 1932 WYNNTON ROAD COLUMBUS GA31999-0002,B/O BANK=J.P. MORGAN SECURITIES LLC 383 MADISON AVENUE NEW YORK NY US,REMARK=ICD DIVIDEND /OCMT/USD136134,72/ DEBIT REF 2607010397400001,REC GFP=07011342</t>
  </si>
  <si>
    <t>REMARK=INTEREST PAYMENT</t>
  </si>
  <si>
    <t>YOUR REF=NOTPROVIDED,REC FROM=00000000066001633 J.P. MORGAN SECURITIES LLC 383 MADISON AVE NEW YORK NY 10179-0001 US,B/O CUSTOMER=/7528157618 AFLAC GI HOLDINGS LLC 1932 WYNNTON ROAD COLUMBUS GA31999-0002,B/O BANK=J.P. MORGAN SECURITIES LLC 383 MADISON AVENUE NEW YORK NY US,REMARK=ICD DIVIDEND /OCMT/USD141331,44/ DEBIT REF 2608030403400001,REC GFP=08031602</t>
  </si>
  <si>
    <t>YOUR REF=NOTPROVIDED,REC FROM=00000000066001633 J.P. MORGAN SECURITIES LLC 383 MADISON AVE NEW YORK NY 10179-0001 US,B/O CUSTOMER=/7528157618 AFLAC GI HOLDINGS LLC 1932 WYNNTON ROAD COLUMBUS GA31999-0002,B/O BANK=J.P. MORGAN SECURITIES LLC 383 MADISON AVENUE NEW YORK NY US,REMARK=ICD DIVIDEND /OCMT/USD131107,39/ DEBIT REF 2609011721600001,REC GFP=09012013</t>
  </si>
  <si>
    <t>YOUR REF=NOTPROVIDED,REC FROM=00000000066001633 J.P. MORGAN SECURITIES LLC 383 MADISON AVE NEW YORK NY 10179-0001 US,B/O CUSTOMER=/7528157618 AFLAC GI HOLDINGS LLC 1932 WYNNTON ROAD COLUMBUS GA31999-0002,B/O BANK=J.P. MORGAN SECURITIES LLC 383 MADISON AVENUE NEW YORK NY US,REMARK=ICD DIVIDEND /OCMT/USD11262,75/ DEBIT REF 2609020198300001,REC GFP=09021438</t>
  </si>
  <si>
    <t>Company 1012</t>
  </si>
  <si>
    <t>1100JPMUS783</t>
  </si>
  <si>
    <t>YOUR REF=NOTPROVIDED,REC FROM=00000000066001633 J.P. MORGAN SECURITIES LLC 383 MADISON AVE NEW YORK NY 10179-0001 US,B/O CUSTOMER=/7528076511 AFLAC INTERNATIONAL INC ATTN: CORPORATE FINANCE 1932 WYNNTON ROAD COLUMBUS GA31999-0002,B/O BANK=J.P. MORGAN SECURITIES LLC 383 MADISON AVENUE NEW YORK NY US,REMARK=ICD DIVIDEND /OCMT/USD112859,26/ DEBIT REF 2607010565000001,REC GFP=07011622</t>
  </si>
  <si>
    <t>REMARK=NEXT DAY INTEREST PAYMENT FROM ACCOUNT   000000773093999</t>
  </si>
  <si>
    <t>07/14/2026</t>
  </si>
  <si>
    <t>YOUR REF=NOTPROVIDED,REC FROM=00000000066001633 J.P. MORGAN SECURITIES LLC 383 MADISON AVE NEW YORK NY 10179-0001 US,B/O CUSTOMER=/7528076511 AFLAC INTERNATIONAL INC ATTN: CORPORATE FINANCE 1932 WYNNTON ROAD COLUMBUS GA31999-0002,B/O BANK=J.P. MORGAN SECURITIES LLC 383 MADISON AVENUE NEW YORK NY US,REMARK=ICD DIVIDEND /OCMT/USD1701,63/ DEBIT REF 2607140577900001,REC GFP=07142112</t>
  </si>
  <si>
    <t>YOUR REF=NOTPROVIDED,REC FROM=00000000066001633 J.P. MORGAN SECURITIES LLC 383 MADISON AVE NEW YORK NY 10179-0001 US,B/O CUSTOMER=/7528076511 AFLAC INTERNATIONAL INC ATTN: CORPORATE FINANCE 1932 WYNNTON ROAD COLUMBUS GA31999-0002,B/O BANK=J.P. MORGAN SECURITIES LLC 383 MADISON AVENUE NEW YORK NY US,REMARK=ICD DIVIDEND /OCMT/USD633,44/ DEBIT REF 2607140241900001,REC GFP=07141512</t>
  </si>
  <si>
    <t>YOUR REF=NOTPROVIDED,REC FROM=00000000066001633 J.P. MORGAN SECURITIES LLC 383 MADISON AVE NEW YORK NY 10179-0001 US,B/O CUSTOMER=/7528076511 AFLAC INTERNATIONAL INC ATTN: CORPORATE FINANCE 1932 WYNNTON ROAD COLUMBUS GA31999-0002,B/O BANK=J.P. MORGAN SECURITIES LLC 383 MADISON AVENUE NEW YORK NY US,REMARK=ICD DIVIDEND /OCMT/USD24014,3/ DEBIT REF 2607140241200001,REC GFP=07141512</t>
  </si>
  <si>
    <t>YOUR REF=NOTPROVIDED,REC FROM=00000000066001633 J.P. MORGAN SECURITIES LLC 383 MADISON AVE NEW YORK NY 10179-0001 US,B/O CUSTOMER=/7528076511 AFLAC INTERNATIONAL INC ATTN: CORPORATE FINANCE 1932 WYNNTON ROAD COLUMBUS GA31999-0002,B/O BANK=J.P. MORGAN SECURITIES LLC 383 MADISON AVENUE NEW YORK NY US,REMARK=ICD DIVIDEND /OCMT/USD6053,27/ DEBIT REF 2607140574500001,REC GFP=07142112</t>
  </si>
  <si>
    <t>YOUR REF=NOTPROVIDED,REC FROM=00000000066001633 J.P. MORGAN SECURITIES LLC 383 MADISON AVE NEW YORK NY 10179-0001 US,B/O CUSTOMER=/7528076511 AFLAC INTERNATIONAL INC ATTN: CORPORATE FINANCE 1932 WYNNTON ROAD COLUMBUS GA31999-0002,B/O BANK=J.P. MORGAN SECURITIES LLC 383 MADISON AVENUE NEW YORK NY US,REMARK=ICD DIVIDEND /OCMT/USD88816,09/ DEBIT REF 2608030367600001,REC GFP=08031522</t>
  </si>
  <si>
    <t>YOUR REF=NOTPROVIDED,REC FROM=00000000066001633 J.P. MORGAN SECURITIES LLC 383 MADISON AVE NEW YORK NY 10179-0001 US,B/O CUSTOMER=/7528076511 AFLAC INTERNATIONAL INC ATTN: CORPORATE FINANCE 1932 WYNNTON ROAD COLUMBUS GA31999-0002,B/O BANK=J.P. MORGAN SECURITIES LLC 383 MADISON AVENUE NEW YORK NY US,REMARK=ICD DIVIDEND /OCMT/USD120370,63/ DEBIT REF 2609011412800001,REC GFP=09011437</t>
  </si>
  <si>
    <t>YOUR REF=NOTPROVIDED,REC FROM=00000000066001633 J.P. MORGAN SECURITIES LLC 383 MADISON AVE NEW YORK NY 10179-0001 US,B/O CUSTOMER=/7528076511 AFLAC INTERNATIONAL INC ATTN: CORPORATE FINANCE 1932 WYNNTON ROAD COLUMBUS GA31999-0002,B/O BANK=J.P. MORGAN SECURITIES LLC 383 MADISON AVENUE NEW YORK NY US,REMARK=ICD DIVIDEND /OCMT/USD1033,27/ DEBIT REF 2609080544400001,REC GFP=09082009</t>
  </si>
  <si>
    <t>YOUR REF=NOTPROVIDED,REC FROM=00000000066001633 J.P. MORGAN SECURITIES LLC 383 MADISON AVE NEW YORK NY 10179-0001 US,B/O CUSTOMER=/7528076511 AFLAC INTERNATIONAL INC ATTN: CORPORATE FINANCE 1932 WYNNTON ROAD COLUMBUS GA31999-0002,B/O BANK=J.P. MORGAN SECURITIES LLC 383 MADISON AVENUE NEW YORK NY US,REMARK=ICD DIVIDEND /OCMT/USD696,73/ DEBIT REF 2609080544200001,REC GFP=09082009</t>
  </si>
  <si>
    <t>YOUR REF=NOTPROVIDED,REC FROM=00000000066001633 J.P. MORGAN SECURITIES LLC 383 MADISON AVE NEW YORK NY 10179-0001 US,B/O CUSTOMER=/7528076511 AFLAC INTERNATIONAL INC ATTN: CORPORATE FINANCE 1932 WYNNTON ROAD COLUMBUS GA31999-0002,B/O BANK=J.P. MORGAN SECURITIES LLC 383 MADISON AVENUE NEW YORK NY US,REMARK=ICD DIVIDEND /OCMT/USD4994,63/ DEBIT REF 2609080543800001,REC GFP=09082009</t>
  </si>
  <si>
    <t>Company 1100</t>
  </si>
  <si>
    <t>1200JPMUS627</t>
  </si>
  <si>
    <t>YOUR REF=NOTPROVIDED,REC FROM=00000000066001633 J.P. MORGAN SECURITIES LLC 383 MADISON AVE NEW YORK NY 10179-0001 US,B/O CUSTOMER=/7528120319 AFLAC ASSET MANAGEMENT LLC ATTN: CORPORATE FINANCE 1932 WYNNTON ROAD COLUMBUS GA31999-0002,B/O BANK=J.P. MORGAN SECURITIES LLC 383 MADISON AVENUE NEW YORK NY US,REMARK=ICD DIVIDEND /OCMT/USD31330,35/ DEBIT REF 2607010568400001,REC GFP=07011627</t>
  </si>
  <si>
    <t>REMARK=NEXT DAY INTEREST PAYMENT FROM ACCOUNT   000000773091621</t>
  </si>
  <si>
    <t>YOUR REF=NOTPROVIDED,REC FROM=00000000066001633 J.P. MORGAN SECURITIES LLC 383 MADISON AVE NEW YORK NY 10179-0001 US,B/O CUSTOMER=/7528120319 AFLAC ASSET MANAGEMENT LLC ATTN: CORPORATE FINANCE 1932 WYNNTON ROAD COLUMBUS GA31999-0002,B/O BANK=J.P. MORGAN SECURITIES LLC 383 MADISON AVENUE NEW YORK NY US,REMARK=ICD DIVIDEND /OCMT/USD637,33/ DEBIT REF 2607020331100001,REC GFP=07021619</t>
  </si>
  <si>
    <t>YOUR REF=NOTPROVIDED,REC FROM=00000000066001633 J.P. MORGAN SECURITIES LLC 383 MADISON AVE NEW YORK NY 10179-0001 US,B/O CUSTOMER=/7528120319 AFLAC ASSET MANAGEMENT LLC ATTN: CORPORATE FINANCE 1932 WYNNTON ROAD COLUMBUS GA31999-0002,B/O BANK=J.P. MORGAN SECURITIES LLC 383 MADISON AVENUE NEW YORK NY US,REMARK=ICD DIVIDEND /OCMT/USD639,37/ DEBIT REF 2607020330700001,REC GFP=07021619</t>
  </si>
  <si>
    <t>YOUR REF=NOTPROVIDED,REC FROM=00000000066001633 J.P. MORGAN SECURITIES LLC 383 MADISON AVE NEW YORK NY 10179-0001 US,B/O CUSTOMER=/7528120319 AFLAC ASSET MANAGEMENT LLC ATTN: CORPORATE FINANCE 1932 WYNNTON ROAD COLUMBUS GA31999-0002,B/O BANK=J.P. MORGAN SECURITIES LLC 383 MADISON AVENUE NEW YORK NY US,REMARK=ICD DIVIDEND /OCMT/USD37638,88/ DEBIT REF 2608030378100001,REC GFP=08031532</t>
  </si>
  <si>
    <t>YOUR REF=NOTPROVIDED,REC FROM=00000000066001633 J.P. MORGAN SECURITIES LLC 383 MADISON AVE NEW YORK NY 10179-0001 US,B/O CUSTOMER=/7528120319 AFLAC ASSET MANAGEMENT LLC ATTN: CORPORATE FINANCE 1932 WYNNTON ROAD COLUMBUS GA31999-0002,B/O BANK=J.P. MORGAN SECURITIES LLC 383 MADISON AVENUE NEW YORK NY US,REMARK=ICD DIVIDEND /OCMT/USD30957,13/ DEBIT REF 2609011421100001,REC GFP=09011442</t>
  </si>
  <si>
    <t>Company 1200</t>
  </si>
  <si>
    <t>1400JPMUS809</t>
  </si>
  <si>
    <t>YOUR REF=NOTPROVIDED,REC FROM=00000000066001633 J.P. MORGAN SECURITIES LLC 383 MADISON AVE NEW YORK NY 10179-0001 US,B/O CUSTOMER=/7528076818 AFLAC INFORMATION TECHNOLOGY ATTN: CORPORATE FINANCE 1932 WYNNTON ROAD COLUMBUS GA31999-0002,B/O BANK=J.P. MORGAN SECURITIES LLC 383 MADISON AVENUE NEW YORK NY US,REMARK=ICD DIVIDEND /OCMT/USD57001,66/ DEBIT REF 2607010566200001,REC GFP=07011622</t>
  </si>
  <si>
    <t>YOUR REF=NOTPROVIDED,REC FROM=00000000066001633 J.P. MORGAN SECURITIES LLC 383 MADISON AVE NEW YORK NY 10179-0001 US,B/O CUSTOMER=/7528076818 AFLAC INFORMATION TECHNOLOGY ATTN: CORPORATE FINANCE 1932 WYNNTON ROAD COLUMBUS GA31999-0002,B/O BANK=J.P. MORGAN SECURITIES LLC 383 MADISON AVENUE NEW YORK NY US,REMARK=ICD DIVIDEND /OCMT/USD373,73/ DEBIT REF 2607020523700001,REC GFP=07021914</t>
  </si>
  <si>
    <t>YOUR REF=NOTPROVIDED,REC FROM=00000000066001633 J.P. MORGAN SECURITIES LLC 383 MADISON AVE NEW YORK NY 10179-0001 US,B/O CUSTOMER=/7528076818 AFLAC INFORMATION TECHNOLOGY ATTN: CORPORATE FINANCE 1932 WYNNTON ROAD COLUMBUS GA31999-0002,B/O BANK=J.P. MORGAN SECURITIES LLC 383 MADISON AVENUE NEW YORK NY US,REMARK=ICD DIVIDEND /OCMT/USD60718,11/ DEBIT REF 2608030370200001,REC GFP=08031527</t>
  </si>
  <si>
    <t>08/24/2026</t>
  </si>
  <si>
    <t>YOUR REF=NOTPROVIDED,REC FROM=00000000066001633 J.P. MORGAN SECURITIES LLC 383 MADISON AVE NEW YORK NY 10179-0001 US,B/O CUSTOMER=/7528076818 AFLAC INFORMATION TECHNOLOGY ATTN: CORPORATE FINANCE 1932 WYNNTON ROAD COLUMBUS GA31999-0002,B/O BANK=J.P. MORGAN SECURITIES LLC 383 MADISON AVENUE NEW YORK NY US,REMARK=ICD DIVIDEND /OCMT/USD1359,04/ DEBIT REF 2608240241000001,REC GFP=08241532</t>
  </si>
  <si>
    <t>YOUR REF=NOTPROVIDED,REC FROM=00000000066001633 J.P. MORGAN SECURITIES LLC 383 MADISON AVE NEW YORK NY 10179-0001 US,B/O CUSTOMER=/7528076818 AFLAC INFORMATION TECHNOLOGY ATTN: CORPORATE FINANCE 1932 WYNNTON ROAD COLUMBUS GA31999-0002,B/O BANK=J.P. MORGAN SECURITIES LLC 383 MADISON AVENUE NEW YORK NY US,REMARK=ICD DIVIDEND /OCMT/USD61171,43/ DEBIT REF 2609011414300001,REC GFP=09011437</t>
  </si>
  <si>
    <t>Company 1400</t>
  </si>
  <si>
    <t>1500JPMUS737</t>
  </si>
  <si>
    <t>REMARK=NEXT DAY INTEREST PAYMENT FROM ACCOUNT   000000496584249</t>
  </si>
  <si>
    <t>YOUR REF=NOTPROVIDED,REC FROM=00000000066001633 J.P. MORGAN SECURITIES LLC 383 MADISON AVE NEW YORK NY 10179-0001 US,B/O CUSTOMER=/7528135515 AFLAC BENEFITS ADVISORS CORPORATE FINANCE 1932 WYNNTON ROAD COLUMBUS GA31999-0002,B/OBANK=J.P. MORGAN SECURITIES LLC 383 MADISON AVENUE NEW YORK NY US,REMARK=ICD DIVIDEND /OCMT/USD30772,25/ DEBIT REF 2607010570200001,REC GFP=07011627</t>
  </si>
  <si>
    <t>YOUR REF=NOTPROVIDED,REC FROM=00000000066001633 J.P. MORGAN SECURITIES LLC 383 MADISON AVE NEW YORK NY 10179-0001 US,B/O CUSTOMER=/7528135515 AFLAC BENEFITS ADVISORS CORPORATE FINANCE 1932 WYNNTON ROAD COLUMBUS GA31999-0002,B/OBANK=J.P. MORGAN SECURITIES LLC 383 MADISON AVENUE NEW YORK NY US,REMARK=ICD DIVIDEND /OCMT/USD31882,91/ DEBIT REF 2608030387200001,REC GFP=08031542</t>
  </si>
  <si>
    <t>YOUR REF=NOTPROVIDED,REC FROM=00000000066001633 J.P. MORGAN SECURITIES LLC 383 MADISON AVE NEW YORK NY 10179-0001 US,B/O CUSTOMER=/7528135515 AFLAC BENEFITS ADVISORS CORPORATE FINANCE 1932 WYNNTON ROAD COLUMBUS GA31999-0002,B/OBANK=J.P. MORGAN SECURITIES LLC 383 MADISON AVENUE NEW YORK NY US,REMARK=ICD DIVIDEND /OCMT/USD32339,96/ DEBIT REF 2609011425300001,REC GFP=09011447</t>
  </si>
  <si>
    <t>Company 1500</t>
  </si>
  <si>
    <t>1800BOAUS790</t>
  </si>
  <si>
    <t>WIRE TYPE:WIRE IN DATE:070126 TIME:1023 ETTRN:2026070100403206 SNDR REF:2212398182JSSERVICE REF:20260701MMQFMP2K024695RELATED REF:ORIG:AFLAC GLOBAL VENTURES LLC 1932 WYNNTON ROAD COLUMBUSGA31999- 0002 ID:7528180511ORG BK:J.P. MORGAN SECURITIES LLC ID:BEARUS33INS BK: ID:SND BK:JPMORGAN CHASE BANK  NA ID:021000021BNF:AFLAC GLOBAL VENTURES LLC 1932 WYNNTON ROAD COLUMBUSGA31999- 0002 ID:385015897790BNF BK: ID:PAYMENT DETAILS:ICD DIVIDEND /CATPURP/CTRC /LOCINS/CTRC /INS/BEARUS33 /INS/J.P. MORGAN SECURITIES LLCUETR:a21893b0-7f59-490f-aa05-9770dbe62c67</t>
  </si>
  <si>
    <t>WIRE TYPE:WIRE IN DATE:080326 TIME:1218 ETTRN:2026080300582348 SNDR REF:2280588215JSSERVICE REF:20260803MMQFMP2M029659RELATED REF:ORIG:AFLAC GLOBAL VENTURES LLC 1932 WYNNTON ROAD COLUMBUSGA31999- 0002 ID:7528180511ORG BK:J.P. MORGAN SECURITIES LLC ID:BEARUS33INS BK: ID:SND BK:JPMORGAN CHASE BANK  N.A. ID:021000021BNF:AFLAC GLOBAL VENTURES LLC 1932 WYNNTON ROAD COLUMBUSGA31999- 0002 ID:385015897790BNF BK: ID:PAYMENT DETAILS:ICD DIVIDEND /CATPURP/CTRC /LOCINS/CTRC /INS/BEARUS33 /INS/J.P. MORGAN SECURITIES LLCUETR:49a1784e-7f60-4930-aa84-a7df4083952f</t>
  </si>
  <si>
    <t>WIRE TYPE:WIRE IN DATE:090126 TIME:1108 ETTRN:2026090100432133 SNDR REF:2248141244JSSERVICE REF:20260901MMQFMP2L049803RELATED REF:ORIG:AFLAC GLOBAL VENTURES LLC 1932 WYNNTON ROAD COLUMBUSGA31999- 0002 ID:7528180511ORG BK:J.P. MORGAN SECURITIES LLC ID:BEARUS33INS BK: ID:SND BK:JPMORGAN CHASE BANK  N.A. ID:021000021BNF:AFLAC GLOBAL VENTURES LLC 1932 WYNNTON ROAD COLUMBUSGA31999- 0002 ID:385015897790BNF BK: ID:PAYMENT DETAILS:ICD DIVIDEND /CATPURP/CTRC /LOCINS/CTRC /INS/BEARUS33 /INS/J.P. MORGAN SECURITIES LLCUETR:1c99268e-7f66-494d-bd4c-c93f8da301ce</t>
  </si>
  <si>
    <t>Company 1800</t>
  </si>
  <si>
    <t>1810BOAUS800</t>
  </si>
  <si>
    <t>WIRE TYPE:WIRE IN DATE:070126 TIME:1109 ETTRN:2026070100429324 SNDR REF:2226081182JSSERVICE REF:20260701MMQFMP2K027743RELATED REF:ORIG:AFLAC VENTURES LLC ATTN: CORPORATE FINANCE 1932WYNNTO N ROAD COLUMBUS GA31999-0002 ID:7528120418ORG BK:J.P. MORGAN SECURITIES LLC ID:BEARUS33INS BK: ID:SND BK:JPMORGAN CHASE BANK  NA ID:021000021BNF:AFLAC VENTURES LLC ATTN: CORPORATE FINANCE 1932 WYNNTON ROAD COLUMBUS GA31999-0002 ID:385015897800BNF BK: ID:PAYMENT DETAILS:ICD DIVIDEND /CATPURP/CTRC /LOCINS/CTRC /INS/BEARUS33 /INS/J.P. MORGAN SECURITIES LLCUETR:a3bf63f6-7f59-490f-850a-7804aaed849f</t>
  </si>
  <si>
    <t>WIRE TYPE:WIRE IN DATE:080326 TIME:1213 ETTRN:2026080300579254 SNDR REF:2269771215JSSERVICE REF:20260803MMQFMP2M029404RELATED REF:ORIG:AFLAC VENTURES LLC ATTN: CORPORATE FINANCE 1932WYNNTO N ROAD COLUMBUS GA31999-0002 ID:7528120418ORG BK:J.P. MORGAN SECURITIES LLC ID:BEARUS33INS BK: ID:SND BK:JPMORGAN CHASE BANK  N.A. ID:021000021BNF:AFLAC VENTURES LLC ATTN: CORPORATE FINANCE 1932 WYNNTON ROAD COLUMBUS GA31999-0002 ID:385015897800BNF BK: ID:PAYMENT DETAILS:ICD DIVIDEND /CATPURP/CTRC /LOCINS/CTRC /INS/BEARUS33 /INS/J.P. MORGAN SECURITIES LLCUETR:4976266c-7f60-4930-960c-24bdeb733b24</t>
  </si>
  <si>
    <t>WIRE TYPE:WIRE IN DATE:090126 TIME:1203 ETTRN:2026090100464549 SNDR REF:2253964244JSSERVICE REF:20260901MMQFMP2L055233RELATED REF:ORIG:AFLAC VENTURES LLC ATTN: CORPORATE FINANCE 1932WYNNTO N ROAD COLUMBUS GA31999-0002 ID:7528120418ORG BK:J.P. MORGAN SECURITIES LLC ID:BEARUS33INS BK: ID:SND BK:JPMORGAN CHASE BANK  N.A. ID:021000021BNF:AFLAC VENTURES LLC ATTN: CORPORATE FINANCE 1932 WYNNTON ROAD COLUMBUS GA31999-0002 ID:385015897800BNF BK: ID:PAYMENT DETAILS:ICD DIVIDEND /CATPURP/CTRC /LOCINS/CTRC /INS/BEARUS33 /INS/J.P. MORGAN SECURITIES LLCUETR:1e7e7f30-7f66-494d-8a2a-c77e02396467</t>
  </si>
  <si>
    <t>Company 1810</t>
  </si>
  <si>
    <t>1825JPMUS952</t>
  </si>
  <si>
    <t>YOUR REF=NOTPROVIDED,REC FROM=00000000066001633 J.P. MORGAN SECURITIES LLC 383 MADISON AVE NEW YORK NY 10179-0001 US,B/O CUSTOMER=/7528165116 AFLAC VENTURES INDIA FUND LLC 1932 WYNNTON ROAD COLUMBUS GA31999-0002,B/O BANK=J.P. MORGAN SECURITIES LLC 383 MADISON AVENUE NEW YORK NY US,REMARK=ICD DIVIDEND /OCMT/USD30246,23/ DEBIT REF 2607010429000001,REC GFP=07011417</t>
  </si>
  <si>
    <t>YOUR REF=NOTPROVIDED,REC FROM=00000000066001633 J.P. MORGAN SECURITIES LLC 383 MADISON AVE NEW YORK NY 10179-0001 US,B/O CUSTOMER=/7528165116 AFLAC VENTURES INDIA FUND LLC 1932 WYNNTON ROAD COLUMBUS GA31999-0002,B/O BANK=J.P. MORGAN SECURITIES LLC 383 MADISON AVENUE NEW YORK NY US,REMARK=ICD DIVIDEND /OCMT/USD31255,23/ DEBIT REF 2608030412400001,REC GFP=08031612</t>
  </si>
  <si>
    <t>YOUR REF=NOTPROVIDED,REC FROM=00000000066001633 J.P. MORGAN SECURITIES LLC 383 MADISON AVE NEW YORK NY 10179-0001 US,B/O CUSTOMER=/7528165116 AFLAC VENTURES INDIA FUND LLC 1932 WYNNTON ROAD COLUMBUS GA31999-0002,B/O BANK=J.P. MORGAN SECURITIES LLC 383 MADISON AVENUE NEW YORK NY US,REMARK=ICD DIVIDEND /OCMT/USD31399,16/ DEBIT REF 2609011437800001,REC GFP=09011502</t>
  </si>
  <si>
    <t>Company 1825</t>
  </si>
  <si>
    <t>1840JPMUS385</t>
  </si>
  <si>
    <t>REMARK=NEXT DAY INTEREST PAYMENT FROM ACCOUNT   000000780696966</t>
  </si>
  <si>
    <t>Company 1840</t>
  </si>
  <si>
    <t>2200JPMUS916</t>
  </si>
  <si>
    <t>REMARK=NEXT DAY INTEREST PAYMENT FROM ACCOUNT   000000773095770</t>
  </si>
  <si>
    <t>REMARK=NEXT DAY INTEREST PAYMENT FROM ACCOUNT   000000701872100</t>
  </si>
  <si>
    <t>YOUR REF=NOTPROVIDED,REC FROM=00000000066001633 J.P. MORGAN SECURITIES LLC 383 MADISON AVE NEW YORK NY 10179-0001 US,B/O CUSTOMER=/7528076719 AMERICAN FAMILY LIFE ASSURANCE COMPANY OF NEW YORK 1932 WYNNTON ROAD COLUMBUS GA31999-0001,B/O BANK=J.P. MORGAN SECURITIES LLC 383 MADISON AVENUE NEW YORK NY US,REMARK=ICD DIVIDEND /OCMT/USD145520,64/ DEBIT REF 2607010566000001,REC GFP=07011622</t>
  </si>
  <si>
    <t>2200PNCUS962</t>
  </si>
  <si>
    <t>YOUR REF=NOTPROVIDED,REC FROM=00000000066001633 J.P. MORGAN SECURITIES LLC 383 MADISON AVE NEW YORK NY 10179-0001 US,B/O CUSTOMER=/7528076719 AMERICAN FAMILY LIFE ASSURANCE COMPANY OF NEW YORK 1932 WYNNTON ROAD COLUMBUS GA31999-0001,B/O BANK=J.P. MORGAN SECURITIES LLC 383 MADISON AVENUE NEW YORK NY US,REMARK=ICD DIVIDEND /OCMT/USD152721,46/ DEBIT REF 2608030370000001,REC GFP=08031527</t>
  </si>
  <si>
    <t>08/13/2026</t>
  </si>
  <si>
    <t>YOUR REF=NOTPROVIDED,REC FROM=00000000066001633 J.P. MORGAN SECURITIES LLC 383 MADISON AVE NEW YORK NY 10179-0001 US,B/O CUSTOMER=/7528076719 AMERICAN FAMILY LIFE ASSURANCE COMPANY OF NEW YORK 1932 WYNNTON ROAD COLUMBUS GA31999-0001,B/O BANK=J.P. MORGAN SECURITIES LLC 383 MADISON AVENUE NEW YORK NY US,REMARK=ICD DIVIDEND /OCMT/USD637,6/ DEBIT REF 2608130495400001,REC GFP=08132142</t>
  </si>
  <si>
    <t>YOUR REF=NOTPROVIDED,REC FROM=00000000066001633 J.P. MORGAN SECURITIES LLC 383 MADISON AVE NEW YORK NY 10179-0001 US,B/O CUSTOMER=/7528076719 AMERICAN FAMILY LIFE ASSURANCE COMPANY OF NEW YORK 1932 WYNNTON ROAD COLUMBUS GA31999-0001,B/O BANK=J.P. MORGAN SECURITIES LLC 383 MADISON AVENUE NEW YORK NY US,REMARK=ICD DIVIDEND /OCMT/USD373,07/ DEBIT REF 2608130495700001,REC GFP=08132142</t>
  </si>
  <si>
    <t>YOUR REF=NOTPROVIDED,REC FROM=00000000066001633 J.P. MORGAN SECURITIES LLC 383 MADISON AVE NEW YORK NY 10179-0001 US,B/O CUSTOMER=/7528076719 AMERICAN FAMILY LIFE ASSURANCE COMPANY OF NEW YORK 1932 WYNNTON ROAD COLUMBUS GA31999-0001,B/O BANK=J.P. MORGAN SECURITIES LLC 383 MADISON AVENUE NEW YORK NY US,REMARK=ICD DIVIDEND /OCMT/USD159831,/ DEBIT REF 2609011414000001,REC GFP=09011437</t>
  </si>
  <si>
    <t>Company 2200</t>
  </si>
  <si>
    <t>2400JPMUS874</t>
  </si>
  <si>
    <t>REMARK=NEXT DAY INTEREST PAYMENT FROM ACCOUNT   000000890456841</t>
  </si>
  <si>
    <t>REMARK=NEXT DAY INTEREST PAYMENT FROM ACCOUNT   000000691348293</t>
  </si>
  <si>
    <t>REMARK=NEXT DAY INTEREST PAYMENT FROM ACCOUNT   000000779108890</t>
  </si>
  <si>
    <t>YOUR REF=NOTPROVIDED,REC FROM=00000000066001633 J.P. MORGAN SECURITIES LLC 383 MADISON AVE NEW YORK NY 10179-0001 US,B/O CUSTOMER=/7528076917 AMERICAN FAMILY LIFE ASSURANCE COMPANY COLUMBUS 1932 WYNNTON ROAD COLUMBUS GA31999-0002,B/O BANK=J.P. MORGAN SECURITIES LLC 383 MADISON AVENUE NEW YORK NY US,REMARK=ICD DIVIDEND /OCMT/USD399587,17/ DEBIT REF 2607010566600001,REC GFP=07011622</t>
  </si>
  <si>
    <t>REMARK=NEXT DAY INTEREST PAYMENT FROM ACCOUNT   000000890456825</t>
  </si>
  <si>
    <t>2400PNCUS954</t>
  </si>
  <si>
    <t>07/10/2026</t>
  </si>
  <si>
    <t>07/21/2026</t>
  </si>
  <si>
    <t>REMARK=NEXT DAY INTEREST PAYMENT FROM ACCOUNT   000000890456833</t>
  </si>
  <si>
    <t>YOUR REF=NOTPROVIDED,REC FROM=00000000066001633 J.P. MORGAN SECURITIES LLC 383 MADISON AVE NEW YORK NY 10179-0001 US,B/O CUSTOMER=/7528076917 AMERICAN FAMILY LIFE ASSURANCE COMPANY COLUMBUS 1932 WYNNTON ROAD COLUMBUS GA31999-0002,B/O BANK=J.P. MORGAN SECURITIES LLC 383 MADISON AVENUE NEW YORK NY US,REMARK=ICD DIVIDEND /OCMT/USD198230,25/ DEBIT REF 2608030370800001,REC GFP=08031527</t>
  </si>
  <si>
    <t>08/10/2026</t>
  </si>
  <si>
    <t>08/21/2026</t>
  </si>
  <si>
    <t>YOUR REF=NOTPROVIDED,REC FROM=00000000066001633 J.P. MORGAN SECURITIES LLC 383 MADISON AVE NEW YORK NY 10179-0001 US,B/O CUSTOMER=/7528076917 AMERICAN FAMILY LIFE ASSURANCE COMPANY COLUMBUS 1932 WYNNTON ROAD COLUMBUS GA31999-0002,B/O BANK=J.P. MORGAN SECURITIES LLC 383 MADISON AVENUE NEW YORK NY US,REMARK=ICD DIVIDEND /OCMT/USD439396,83/ DEBIT REF 2609011415000001,REC GFP=09011437</t>
  </si>
  <si>
    <t>09/11/2026</t>
  </si>
  <si>
    <t>09/21/2026</t>
  </si>
  <si>
    <t>Company 2400</t>
  </si>
  <si>
    <t>2500JPMUS633</t>
  </si>
  <si>
    <t>YOUR REF=NOTPROVIDED,REC FROM=00000000066001633 J.P. MORGAN SECURITIES LLC 383 MADISON AVE NEW YORK NY 10179-0001 US,B/O CUSTOMER=/7528076610 CONTINENTAL AMERICAN INSURANCE ATTN: CORPORATE FINANCE 1932 WYNNTON ROAD COLUMBUS GA31999-0001,B/O BANK=J.P. MORGAN SECURITIES LLC 383 MADISON AVENUE NEW YORK NYUS,REMARK=ICD DIVIDEND /OCMT/USD378382,46/ DEBIT REF 2607010565500001,REC GFP=07011622</t>
  </si>
  <si>
    <t>REMARK=NEXT DAY INTEREST PAYMENT FROM ACCOUNT   000000955267583</t>
  </si>
  <si>
    <t>REMARK=NEXT DAY INTEREST PAYMENT FROM ACCOUNT   000000773097206</t>
  </si>
  <si>
    <t>2500PNCUS989</t>
  </si>
  <si>
    <t>07/28/2026</t>
  </si>
  <si>
    <t>YOUR REF=NOTPROVIDED,REC FROM=00000000066001633 J.P. MORGAN SECURITIES LLC 383 MADISON AVE NEW YORK NY 10179-0001 US,B/O CUSTOMER=/7528076610 CONTINENTAL AMERICAN INSURANCE ATTN: CORPORATE FINANCE 1932 WYNNTON ROAD COLUMBUS GA31999-0001,B/O BANK=J.P. MORGAN SECURITIES LLC 383 MADISON AVENUE NEW YORK NYUS,REMARK=ICD DIVIDEND /OCMT/USD426771,04/ DEBIT REF 2608030369500001,REC GFP=08031522</t>
  </si>
  <si>
    <t>YOUR REF=NOTPROVIDED,REC FROM=00000000066001633 J.P. MORGAN SECURITIES LLC 383 MADISON AVE NEW YORK NY 10179-0001 US,B/O CUSTOMER=/7528076610 CONTINENTAL AMERICAN INSURANCE ATTN: CORPORATE FINANCE 1932 WYNNTON ROAD COLUMBUS GA31999-0001,B/O BANK=J.P. MORGAN SECURITIES LLC 383 MADISON AVENUE NEW YORK NYUS,REMARK=ICD DIVIDEND /OCMT/USD917,36/ DEBIT REF 2608100280300001,REC GFP=08101541</t>
  </si>
  <si>
    <t>08/14/2026</t>
  </si>
  <si>
    <t>YOUR REF=NOTPROVIDED,REC FROM=00000000066001633 J.P. MORGAN SECURITIES LLC 383 MADISON AVE NEW YORK NY 10179-0001 US,B/O CUSTOMER=/7528076610 CONTINENTAL AMERICAN INSURANCE ATTN: CORPORATE FINANCE 1932 WYNNTON ROAD COLUMBUS GA31999-0001,B/O BANK=J.P. MORGAN SECURITIES LLC 383 MADISON AVENUE NEW YORK NYUS,REMARK=ICD DIVIDEND /OCMT/USD66952,5/ DEBIT REF 2608170408600001,REC GFP=08171807</t>
  </si>
  <si>
    <t>08/28/2026</t>
  </si>
  <si>
    <t>YOUR REF=NOTPROVIDED,REC FROM=00000000066001633 J.P. MORGAN SECURITIES LLC 383 MADISON AVE NEW YORK NY 10179-0001 US,B/O CUSTOMER=/7528076610 CONTINENTAL AMERICAN INSURANCE ATTN: CORPORATE FINANCE 1932 WYNNTON ROAD COLUMBUS GA31999-0001,B/O BANK=J.P. MORGAN SECURITIES LLC 383 MADISON AVENUE NEW YORK NYUS,REMARK=ICD DIVIDEND /OCMT/USD303645,46/ DEBIT REF 2609011752400001,REC GFP=09012037</t>
  </si>
  <si>
    <t>YOUR REF=NOTPROVIDED,REC FROM=00000000066001633 J.P. MORGAN SECURITIES LLC 383 MADISON AVE NEW YORK NY 10179-0001 US,B/O CUSTOMER=/7528076610 CONTINENTAL AMERICAN INSURANCE ATTN: CORPORATE FINANCE 1932 WYNNTON ROAD COLUMBUS GA31999-0001,B/O BANK=J.P. MORGAN SECURITIES LLC 383 MADISON AVENUE NEW YORK NYUS,REMARK=ICD DIVIDEND /OCMT/USD114968,48/ DEBIT REF 2609020196900001,REC GFP=09021438</t>
  </si>
  <si>
    <t>09/04/2026</t>
  </si>
  <si>
    <t>09/18/2026</t>
  </si>
  <si>
    <t>YOUR REF=NOTPROVIDED,REC FROM=00000000066001633 J.P. MORGAN SECURITIES LLC 383 MADISON AVE NEW YORK NY 10179-0001 US,B/O CUSTOMER=/7528076610 CONTINENTAL AMERICAN INSURANCE ATTN: CORPORATE FINANCE 1932 WYNNTON ROAD COLUMBUS GA31999-0001,B/O BANK=J.P. MORGAN SECURITIES LLC 383 MADISON AVENUE NEW YORK NYUS,REMARK=ICD DIVIDEND /OCMT/USD3916,54/ DEBIT REF 2609180539700001,REC GFP=09181813</t>
  </si>
  <si>
    <t>09/25/2026</t>
  </si>
  <si>
    <t>09/29/2026</t>
  </si>
  <si>
    <t>YOUR REF=NOTPROVIDED,REC FROM=00000000066001633 J.P. MORGAN SECURITIES LLC 383 MADISON AVE NEW YORK NY 10179-0001 US,B/O CUSTOMER=/7528076610 CONTINENTAL AMERICAN INSURANCE ATTN: CORPORATE FINANCE 1932 WYNNTON ROAD COLUMBUS GA31999-0001,B/O BANK=J.P. MORGAN SECURITIES LLC 383 MADISON AVENUE NEW YORK NYUS,REMARK=ICD DIVIDEND /OCMT/USD174111,44/ DEBIT REF 2609300215300001,REC GFP=09301432</t>
  </si>
  <si>
    <t>Company 2500</t>
  </si>
  <si>
    <t>2560JPMUS737</t>
  </si>
  <si>
    <t>YOUR REF=NOTPROVIDED,REC FROM=00000000066001633 J.P. MORGAN SECURITIES LLC 383 MADISON AVE NEW YORK NY 10179-0001 US,B/O CUSTOMER=/7528223717 AFLAC GROUP 1932 WYNNTON ROAD COLUMBUS GA31999-0002,B/O BANK=J.P. MORGAN SECURITIES LLC 383 MADISON AVENUE NEW YORK NY US,REMARK=ICD DIVIDEND /OCMT/USD18150,/ DEBIT REF 2607010469000001,REC GFP=07011452</t>
  </si>
  <si>
    <t>YOUR REF=NOTPROVIDED,REC FROM=00000000066001633 J.P. MORGAN SECURITIES LLC 383 MADISON AVE NEW YORK NY 10179-0001 US,B/O CUSTOMER=/7528223717 AFLAC GROUP 1932 WYNNTON ROAD COLUMBUS GA31999-0002,B/O BANK=J.P. MORGAN SECURITIES LLC 383 MADISON AVENUE NEW YORK NY US,REMARK=ICD DIVIDEND /OCMT/USD18788,4/ DEBIT REF 2608030432500001,REC GFP=08031627</t>
  </si>
  <si>
    <t>YOUR REF=NOTPROVIDED,REC FROM=00000000066001633 J.P. MORGAN SECURITIES LLC 383 MADISON AVE NEW YORK NY 10179-0001 US,B/O CUSTOMER=/7528223717 AFLAC GROUP 5420 LYNDON B JOHNSON FWY SUITE 1200 DALLAS TX75240-6215,B/O BANK=J.P. MORGAN SECURITIES LLC 383 MADISON AVENUE NEW YORK NY US,REMARK=ICD DIVIDEND /OCMT/USD16692,77/ DEBIT REF 2609011723000001,REC GFP=09012013</t>
  </si>
  <si>
    <t>YOUR REF=NOTPROVIDED,REC FROM=00000000066001633 J.P. MORGAN SECURITIES LLC 383 MADISON AVE NEW YORK NY 10179-0001 US,B/O CUSTOMER=/7528223717 AFLAC GROUP 5420 LYNDON B JOHNSON FWY SUITE 1200 DALLAS TX75240-6215,B/O BANK=J.P. MORGAN SECURITIES LLC 383 MADISON AVENUE NEW YORK NY US,REMARK=ICD DIVIDEND /OCMT/USD14379,75/ DEBIT REF 2609020201800001,REC GFP=09021443</t>
  </si>
  <si>
    <t>Company 2560</t>
  </si>
  <si>
    <t>2600JPMUS174</t>
  </si>
  <si>
    <t>YOUR REF=NOTPROVIDED,REC FROM=00000000066001633 J.P. MORGAN SECURITIES LLC 383 MADISON AVE NEW YORK NY 10179-0001 US,B/O CUSTOMER=/7528139715 TIER ONE INSURANCE COMPANY ATTN TREASURY 1932 WYNNTON ROAD COLUMBUS GA31999-0001,B/O BANK=J.P. MORGAN SECURITIES LLC 383 MADISON AVENUE NEW YORK NY US,REMARK=ICDDIVIDEND /OCMT/USD28172,97/ DEBIT REF 2607010570400001,REC GFP=07011627</t>
  </si>
  <si>
    <t>YOUR REF=NOTPROVIDED,REC FROM=00000000066001633 J.P. MORGAN SECURITIES LLC 383 MADISON AVE NEW YORK NY 10179-0001 US,B/O CUSTOMER=/7528139715 TIER ONE INSURANCE COMPANY ATTN TREASURY 1932 WYNNTON ROAD COLUMBUS GA31999-0001,B/O BANK=J.P. MORGAN SECURITIES LLC 383 MADISON AVENUE NEW YORK NY US,REMARK=ICDDIVIDEND /OCMT/USD27701,23/ DEBIT REF 2608030387700001,REC GFP=08031542</t>
  </si>
  <si>
    <t>YOUR REF=NOTPROVIDED,REC FROM=00000000066001633 J.P. MORGAN SECURITIES LLC 383 MADISON AVE NEW YORK NY 10179-0001 US,B/O CUSTOMER=/7528139715 TIER ONE INSURANCE COMPANY ATTN TREASURY 1932 WYNNTON ROAD COLUMBUS GA31999-0001,B/O BANK=J.P. MORGAN SECURITIES LLC 383 MADISON AVENUE NEW YORK NY US,REMARK=ICDDIVIDEND /OCMT/USD27271,23/ DEBIT REF 2609011426900001,REC GFP=09011447</t>
  </si>
  <si>
    <t>Company 2600</t>
  </si>
  <si>
    <t>2810PNCUS054</t>
  </si>
  <si>
    <t>WIRE TRANSFER ISOAMT:USD 38482.12 STTLMT DATE:07012026 CLR SYSREF:20260701MMQFMP2N034429 SND REF:2241516182JSRFB:NOTPROVIDEDUETR:a6f3393a-7f59-490f-94dd-26ec6edd28b9 CHG:SHARTRN:2671G3855RA051RL DATE:260701 TIME:1238DEBTOR:AFLAC BENEFITS SOLUTIONS INC AC/7528159010ADDR:4919 W LAUREL STREET TAMPA FL33607- 3811 DBBNK:J.P. MORGAN SECURITIES LLC BIC:BEARUS33 ADDR:383MADISON AVENUE NEW YORK NY US INSTG BNK:JPMORGANCHASE BANK, NA BNK ID:021000021 CTY:NEW YORK ST/PR:NYCTRY:US INSTD BNK:JPMORGAN CHASE BANK, NA BNKID:043000096 CTY:NEW YORK ST/PR:NY CTRY:US CRBNK:PNCBANK PITT BIC:PNCCUS33 ADDR:PNC BANK, N.A.WILMINGTON DE US CREDITOR:AFLAC BENEFITS SOLUTIONSINC AC/1082061054 ADDR:4919 W LAUREL STREET TAMPAFL33607- 3811 BBI:ICD DIVIDENDS RMT INF:ICD DIVIDENDS</t>
  </si>
  <si>
    <t>WIRE TRANSFER ISOAMT:USD 39866.03 STTLMT DATE:08032026 CLR SYSREF:20260803MMQFMP2K028630 SND REF:2269116215JSRFB:NOTPROVIDEDUETR:4909f348-7f60-4930-94a8-959f9896269d CHG:SHARTRN:2683G0303PDT360J DATE:260803 TIME:1203DEBTOR:AFLAC BENEFITS SOLUTIONS INC AC/7528159010ADDR:4919 W LAUREL STREET TAMPA FL33607- 3811 DBBNK:J.P. MORGAN SECURITIES LLC BIC:BEARUS33 ADDR:383MADISON AVENUE NEW YORK NY US INSTG BNK:JPMORGANCHASE BANK, NA BNK ID:021000021 CTY:NEW YORK ST/PR:NYCTRY:US INSTD BNK:JPMORGAN CHASE BANK, NA BNKID:043000096 CTY:NEW YORK ST/PR:NY CTRY:US CRBNK:PNCBANK PITT BIC:PNCCUS33 ADDR:PNC BANK, N.A.WILMINGTON DE US CREDITOR:AFLAC BENEFITS SOLUTIONSINC AC/1082061054 ADDR:4919 W LAUREL STREET TAMPAFL33607- 3811 BBI:ICD DIVIDENDS RMT INF:ICD DIVIDENDS</t>
  </si>
  <si>
    <t>WIRE TRANSFER ISOAMT:USD 40074.68 STTLMT DATE:09012026 CLR SYSREF:20260901MMQFMP2N048878 SND REF:2243005244JSRFB:NOTPROVIDEDUETR:1c4107b0-7f66-494d-be90-44c5a838b50c CHG:SHARTRN:2691E583220C5RGJ DATE:260901 TIME:1058DEBTOR:AFLAC BENEFITS SOLUTIONS INC AC/7528159010ADDR:4919 W LAUREL STREET TAMPA FL33607- 3811 DBBNK:J.P. MORGAN SECURITIES LLC BIC:BEARUS33 ADDR:383MADISON AVENUE NEW YORK NY US INSTG BNK:JPMORGANCHASE BANK, NA BNK ID:021000021 CTY:NEW YORK ST/PR:NYCTRY:US INSTD BNK:JPMORGAN CHASE BANK, NA BNKID:043000096 CTY:NEW YORK ST/PR:NY CTRY:US CRBNK:PNCBANK PITT BIC:PNCCUS33 ADDR:PNC BANK, N.A.WILMINGTON DE US CREDITOR:AFLAC BENEFITS SOLUTIONSINC AC/1082061054 ADDR:4919 W LAUREL STREET TAMPAFL33607- 3811 RMT INF:ICD DIVIDENDS</t>
  </si>
  <si>
    <t>Company 2810</t>
  </si>
  <si>
    <t>2900JPMUS125</t>
  </si>
  <si>
    <t>YOUR REF=NOTPROVIDED,REC FROM=00000000066001633 J.P. MORGAN SECURITIES LLC 383 MADISON AVE NEW YORK NY 10179-0001 US,B/O CUSTOMER=/7528171916 AFLAC RE BERMUDA LTD 1932 WYNNTON ROAD COLUMBUS GA31999-0002,B/O BANK=J.P. MORGAN SECURITIES LLC 383 MADISON AVENUE NEW YORK NY US,REMARK=ICD DIVIDEND /OCMT/USD530166,75/ DEBIT REF 2607010602200001,REC GFP=07011652</t>
  </si>
  <si>
    <t>2900MUFUS747</t>
  </si>
  <si>
    <t>INTEREST CREDIT,GENERAL TRANSFER,RMKS INTEREST SETTLEMENT FOR PERIOD FROM 07 01 2026 TO 07 31 2026INTEREST SETTLEMENT FOR PERIOD FROM 07 01 2026 TO 07 31 2026|</t>
  </si>
  <si>
    <t>YOUR REF=NOTPROVIDED,REC FROM=00000000066001633 J.P. MORGAN SECURITIES LLC 383 MADISON AVE NEW YORK NY 10179-0001 US,B/O CUSTOMER=/7528171916 AFLAC RE BERMUDA LTD 1932 WYNNTON ROAD COLUMBUS GA31999-0002,B/O BANK=J.P. MORGAN SECURITIES LLC 383 MADISON AVENUE NEW YORK NY US,REMARK=ICD DIVIDEND /OCMT/USD545518,69/ DEBIT REF 2608030467600001,REC GFP=08031652</t>
  </si>
  <si>
    <t>INTEREST CREDIT,GENERAL TRANSFER,RMKS INTEREST SETTLEMENT FOR PERIOD FROM 08 01 2026 TO 08 31 2026INTEREST SETTLEMENT FOR PERIOD FROM 08 01 2026 TO 08 31 2026|</t>
  </si>
  <si>
    <t>YOUR REF=NOTPROVIDED,REC FROM=00000000066001633 J.P. MORGAN SECURITIES LLC 383 MADISON AVE NEW YORK NY 10179-0001 US,B/O CUSTOMER=/7528171916 AFLAC RE BERMUDA LTD 1932 WYNNTON ROAD COLUMBUS GA31999-0002,B/O BANK=J.P. MORGAN SECURITIES LLC 383 MADISON AVENUE NEW YORK NY US,REMARK=ICD DIVIDEND /OCMT/USD544174,25/ DEBIT REF 2609011497800001,REC GFP=09011602</t>
  </si>
  <si>
    <t>INTEREST CREDIT,GENERAL TRANSFER,RMKS INTEREST SETTLEMENT FOR PERIOD FROM 09 01 2026 TO 09 30 2026INTEREST SETTLEMENT FOR PERIOD FROM 09 01 2026 TO 09 30 2026|</t>
  </si>
  <si>
    <t>Company 2900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</si>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</sst>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\-"/>
  </numFmts>
  <fonts count="8" x14ac:knownFonts="1">
    <font>
      <sz val="11"/>
      <color theme="1"/>
      <name val="Aptos Narrow"/>
      <family val="2"/>
      <charset val="1"/>
    </font>
    <font>
      <b/>
      <sz val="14"/>
      <name val="Aptos Narrow"/>
      <charset val="1"/>
    </font>
    <font>
      <i/>
      <sz val="11"/>
      <color rgb="FF595959"/>
      <name val="Aptos Narrow"/>
      <charset val="1"/>
    </font>
    <font>
      <b/>
      <sz val="11"/>
      <name val="Aptos Narrow"/>
      <charset val="1"/>
    </font>
    <font>
      <sz val="11"/>
      <name val="Aptos Narrow"/>
      <charset val="1"/>
    </font>
    <font>
      <sz val="11"/>
      <color rgb="FF0000FF"/>
      <name val="Aptos Narrow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ADD9F1"/>
        <bgColor rgb="FFCED6E7"/>
      </patternFill>
    </fill>
    <fill>
      <patternFill patternType="solid">
        <fgColor rgb="FFCED6E7"/>
        <bgColor rgb="FFADD9F1"/>
      </patternFill>
    </fill>
    <fill>
      <patternFill patternType="solid">
        <fgColor rgb="FFF2EFE8"/>
        <bgColor rgb="FFFFFFFF"/>
      </patternFill>
    </fill>
    <fill>
      <patternFill patternType="solid">
        <fgColor rgb="FF666666"/>
        <bgColor rgb="FF595959"/>
      </patternFill>
    </fill>
  </fills>
  <borders count="4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999999"/>
      </top>
      <bottom style="double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6" fillId="4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4" fillId="0" borderId="0" xfId="0" applyFont="1" applyAlignment="1">
      <alignment horizontal="left"/>
    </xf>
    <xf numFmtId="164" fontId="4" fillId="0" borderId="0" xfId="0" applyNumberFormat="1" applyFont="1"/>
    <xf numFmtId="0" fontId="3" fillId="0" borderId="2" xfId="0" applyFont="1" applyBorder="1"/>
    <xf numFmtId="164" fontId="3" fillId="0" borderId="2" xfId="0" applyNumberFormat="1" applyFont="1" applyBorder="1" applyAlignment="1">
      <alignment horizontal="right"/>
    </xf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3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4" fontId="7" fillId="4" borderId="3" xfId="0" applyNumberFormat="1" applyFont="1" applyFill="1" applyBorder="1" applyAlignment="1">
      <alignment horizontal="right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EFE8"/>
      <rgbColor rgb="FFCCFFFF"/>
      <rgbColor rgb="FF660066"/>
      <rgbColor rgb="FFFF8080"/>
      <rgbColor rgb="FF0066CC"/>
      <rgbColor rgb="FFCED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D9F1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76320</xdr:rowOff>
    </xdr:from>
    <xdr:to>
      <xdr:col>16</xdr:col>
      <xdr:colOff>380520</xdr:colOff>
      <xdr:row>18</xdr:row>
      <xdr:rowOff>161640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58880" y="1981440"/>
          <a:ext cx="11763000" cy="1609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C7"/>
  <sheetViews>
    <sheetView zoomScaleNormal="100" workbookViewId="0">
      <selection activeCell="E33" sqref="E33"/>
    </sheetView>
  </sheetViews>
  <sheetFormatPr defaultColWidth="8.5703125" defaultRowHeight="15" x14ac:dyDescent="0.25"/>
  <sheetData>
    <row r="3" spans="3:3" x14ac:dyDescent="0.25">
      <c r="C3" t="s">
        <v>0</v>
      </c>
    </row>
    <row r="4" spans="3:3" x14ac:dyDescent="0.25">
      <c r="C4" t="s">
        <v>1</v>
      </c>
    </row>
    <row r="5" spans="3:3" x14ac:dyDescent="0.25">
      <c r="C5" t="s">
        <v>2</v>
      </c>
    </row>
    <row r="6" spans="3:3" x14ac:dyDescent="0.25">
      <c r="C6" t="s">
        <v>3</v>
      </c>
    </row>
    <row r="7" spans="3:3" x14ac:dyDescent="0.25">
      <c r="C7" t="s">
        <v>4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17" sqref="J17"/>
    </sheetView>
  </sheetViews>
  <sheetFormatPr defaultColWidth="8.5703125" defaultRowHeight="15" x14ac:dyDescent="0.25"/>
  <cols>
    <col min="1" max="1" width="36" customWidth="1"/>
    <col min="2" max="6" width="18" customWidth="1"/>
  </cols>
  <sheetData>
    <row r="1" spans="1:6" ht="18.75" x14ac:dyDescent="0.3">
      <c r="A1" s="4" t="s">
        <v>5</v>
      </c>
    </row>
    <row r="2" spans="1:6" x14ac:dyDescent="0.25">
      <c r="A2" s="5" t="s">
        <v>6</v>
      </c>
    </row>
    <row r="4" spans="1:6" x14ac:dyDescent="0.25">
      <c r="A4" s="6" t="s">
        <v>7</v>
      </c>
      <c r="B4" s="7" t="s">
        <v>8</v>
      </c>
      <c r="C4" s="7" t="s">
        <v>9</v>
      </c>
      <c r="D4" s="7" t="s">
        <v>10</v>
      </c>
      <c r="E4" s="7" t="s">
        <v>11</v>
      </c>
      <c r="F4" s="7" t="s">
        <v>12</v>
      </c>
    </row>
    <row r="5" spans="1:6" x14ac:dyDescent="0.25">
      <c r="A5" s="8" t="s">
        <v>13</v>
      </c>
      <c r="B5" s="9">
        <f ca="1">SUMIFS('1Q'!$F:$F,'1Q'!$A:$A,"1000",'1Q'!$B:$B,"&lt;&gt;"&amp;$B$29)</f>
        <v>0</v>
      </c>
      <c r="C5" s="9">
        <f ca="1">SUMIFS('2Q'!$F:$F,'2Q'!$A:$A,"1000",'2Q'!$B:$B,"&lt;&gt;"&amp;$B$29)</f>
        <v>0</v>
      </c>
      <c r="D5" s="9">
        <f>SUMIFS('3Q'!$F:$F,'3Q'!$A:$A,"1000",'3Q'!$B:$B,"&lt;&gt;"&amp;$B$29)</f>
        <v>9295165.1799999997</v>
      </c>
      <c r="E5" s="9">
        <f ca="1">SUMIFS('4Q'!$F:$F,'4Q'!$A:$A,"1000",'4Q'!$B:$B,"&lt;&gt;"&amp;$B$29)</f>
        <v>0</v>
      </c>
      <c r="F5" s="9">
        <f t="shared" ref="F5:F22" ca="1" si="0">SUM(B5:E5)</f>
        <v>9295165.1799999997</v>
      </c>
    </row>
    <row r="6" spans="1:6" x14ac:dyDescent="0.25">
      <c r="A6" s="8" t="s">
        <v>14</v>
      </c>
      <c r="B6" s="9">
        <f>SUMIFS('1Q'!$F:$F,'1Q'!$B:$B,$B$29)</f>
        <v>0</v>
      </c>
      <c r="C6" s="9">
        <f>SUMIFS('2Q'!$F:$F,'2Q'!$B:$B,$B$29)</f>
        <v>0</v>
      </c>
      <c r="D6" s="9">
        <f>SUMIFS('3Q'!$F:$F,'3Q'!$B:$B,$B$29)</f>
        <v>5933452.9000000004</v>
      </c>
      <c r="E6" s="9">
        <f>SUMIFS('4Q'!$F:$F,'4Q'!$B:$B,$B$29)</f>
        <v>0</v>
      </c>
      <c r="F6" s="9">
        <f t="shared" si="0"/>
        <v>5933452.9000000004</v>
      </c>
    </row>
    <row r="7" spans="1:6" x14ac:dyDescent="0.25">
      <c r="A7" s="8" t="s">
        <v>15</v>
      </c>
      <c r="B7" s="9">
        <f>SUMIFS('1Q'!$F:$F,'1Q'!$A:$A,$A7)</f>
        <v>0</v>
      </c>
      <c r="C7" s="9">
        <f>SUMIFS('2Q'!$F:$F,'2Q'!$A:$A,$A7)</f>
        <v>0</v>
      </c>
      <c r="D7" s="9">
        <f>SUMIFS('3Q'!$F:$F,'3Q'!$A:$A,$A7)</f>
        <v>422686.17000000004</v>
      </c>
      <c r="E7" s="9">
        <f>SUMIFS('4Q'!$F:$F,'4Q'!$A:$A,$A7)</f>
        <v>0</v>
      </c>
      <c r="F7" s="9">
        <f t="shared" si="0"/>
        <v>422686.17000000004</v>
      </c>
    </row>
    <row r="8" spans="1:6" x14ac:dyDescent="0.25">
      <c r="A8" s="8" t="s">
        <v>16</v>
      </c>
      <c r="B8" s="9">
        <f>SUMIFS('1Q'!$F:$F,'1Q'!$A:$A,$A8)</f>
        <v>0</v>
      </c>
      <c r="C8" s="9">
        <f>SUMIFS('2Q'!$F:$F,'2Q'!$A:$A,$A8)</f>
        <v>0</v>
      </c>
      <c r="D8" s="9">
        <f>SUMIFS('3Q'!$F:$F,'3Q'!$A:$A,$A8)</f>
        <v>366355.16999999993</v>
      </c>
      <c r="E8" s="9">
        <f>SUMIFS('4Q'!$F:$F,'4Q'!$A:$A,$A8)</f>
        <v>0</v>
      </c>
      <c r="F8" s="9">
        <f t="shared" si="0"/>
        <v>366355.16999999993</v>
      </c>
    </row>
    <row r="9" spans="1:6" x14ac:dyDescent="0.25">
      <c r="A9" s="8" t="s">
        <v>17</v>
      </c>
      <c r="B9" s="9">
        <f>SUMIFS('1Q'!$F:$F,'1Q'!$A:$A,$A9)</f>
        <v>0</v>
      </c>
      <c r="C9" s="9">
        <f>SUMIFS('2Q'!$F:$F,'2Q'!$A:$A,$A9)</f>
        <v>0</v>
      </c>
      <c r="D9" s="9">
        <f>SUMIFS('3Q'!$F:$F,'3Q'!$A:$A,$A9)</f>
        <v>115705.29999999999</v>
      </c>
      <c r="E9" s="9">
        <f>SUMIFS('4Q'!$F:$F,'4Q'!$A:$A,$A9)</f>
        <v>0</v>
      </c>
      <c r="F9" s="9">
        <f t="shared" si="0"/>
        <v>115705.29999999999</v>
      </c>
    </row>
    <row r="10" spans="1:6" x14ac:dyDescent="0.25">
      <c r="A10" s="8" t="s">
        <v>18</v>
      </c>
      <c r="B10" s="9">
        <f>SUMIFS('1Q'!$F:$F,'1Q'!$A:$A,$A10)</f>
        <v>0</v>
      </c>
      <c r="C10" s="9">
        <f>SUMIFS('2Q'!$F:$F,'2Q'!$A:$A,$A10)</f>
        <v>0</v>
      </c>
      <c r="D10" s="9">
        <f>SUMIFS('3Q'!$F:$F,'3Q'!$A:$A,$A10)</f>
        <v>184690.58999999997</v>
      </c>
      <c r="E10" s="9">
        <f>SUMIFS('4Q'!$F:$F,'4Q'!$A:$A,$A10)</f>
        <v>0</v>
      </c>
      <c r="F10" s="9">
        <f>SUM(B10:E10)</f>
        <v>184690.58999999997</v>
      </c>
    </row>
    <row r="11" spans="1:6" x14ac:dyDescent="0.25">
      <c r="A11" s="8" t="s">
        <v>19</v>
      </c>
      <c r="B11" s="9">
        <f>SUMIFS('1Q'!$F:$F,'1Q'!$A:$A,$A11)</f>
        <v>0</v>
      </c>
      <c r="C11" s="9">
        <f>SUMIFS('2Q'!$F:$F,'2Q'!$A:$A,$A11)</f>
        <v>0</v>
      </c>
      <c r="D11" s="9">
        <f>SUMIFS('3Q'!$F:$F,'3Q'!$A:$A,$A11)</f>
        <v>99887.060000000012</v>
      </c>
      <c r="E11" s="9">
        <f>SUMIFS('4Q'!$F:$F,'4Q'!$A:$A,$A11)</f>
        <v>0</v>
      </c>
      <c r="F11" s="9">
        <f>SUM(B11:E11)</f>
        <v>99887.060000000012</v>
      </c>
    </row>
    <row r="12" spans="1:6" x14ac:dyDescent="0.25">
      <c r="A12" s="8" t="s">
        <v>20</v>
      </c>
      <c r="B12" s="9">
        <f>SUMIFS('1Q'!$F:$F,'1Q'!$A:$A,$A12)</f>
        <v>0</v>
      </c>
      <c r="C12" s="9">
        <f>SUMIFS('2Q'!$F:$F,'2Q'!$A:$A,$A12)</f>
        <v>0</v>
      </c>
      <c r="D12" s="9">
        <f>SUMIFS('3Q'!$F:$F,'3Q'!$A:$A,$A12)</f>
        <v>174818.72</v>
      </c>
      <c r="E12" s="9">
        <f>SUMIFS('4Q'!$F:$F,'4Q'!$A:$A,$A12)</f>
        <v>0</v>
      </c>
      <c r="F12" s="9">
        <f t="shared" si="0"/>
        <v>174818.72</v>
      </c>
    </row>
    <row r="13" spans="1:6" x14ac:dyDescent="0.25">
      <c r="A13" s="8" t="s">
        <v>21</v>
      </c>
      <c r="B13" s="9">
        <f>SUMIFS('1Q'!$F:$F,'1Q'!$A:$A,$A13)</f>
        <v>0</v>
      </c>
      <c r="C13" s="9">
        <f>SUMIFS('2Q'!$F:$F,'2Q'!$A:$A,$A13)</f>
        <v>0</v>
      </c>
      <c r="D13" s="9">
        <f>SUMIFS('3Q'!$F:$F,'3Q'!$A:$A,$A13)</f>
        <v>1844711.7899999998</v>
      </c>
      <c r="E13" s="9">
        <f>SUMIFS('4Q'!$F:$F,'4Q'!$A:$A,$A13)</f>
        <v>0</v>
      </c>
      <c r="F13" s="9">
        <f t="shared" si="0"/>
        <v>1844711.7899999998</v>
      </c>
    </row>
    <row r="14" spans="1:6" x14ac:dyDescent="0.25">
      <c r="A14" s="8" t="s">
        <v>22</v>
      </c>
      <c r="B14" s="9">
        <f>SUMIFS('1Q'!$F:$F,'1Q'!$A:$A,$A14)</f>
        <v>0</v>
      </c>
      <c r="C14" s="9">
        <f>SUMIFS('2Q'!$F:$F,'2Q'!$A:$A,$A14)</f>
        <v>0</v>
      </c>
      <c r="D14" s="9">
        <f>SUMIFS('3Q'!$F:$F,'3Q'!$A:$A,$A14)</f>
        <v>97463.2</v>
      </c>
      <c r="E14" s="9">
        <f>SUMIFS('4Q'!$F:$F,'4Q'!$A:$A,$A14)</f>
        <v>0</v>
      </c>
      <c r="F14" s="9">
        <f t="shared" si="0"/>
        <v>97463.2</v>
      </c>
    </row>
    <row r="15" spans="1:6" x14ac:dyDescent="0.25">
      <c r="A15" s="8" t="s">
        <v>23</v>
      </c>
      <c r="B15" s="9">
        <f>SUMIFS('1Q'!$F:$F,'1Q'!$A:$A,$A15)</f>
        <v>0</v>
      </c>
      <c r="C15" s="9">
        <f>SUMIFS('2Q'!$F:$F,'2Q'!$A:$A,$A15)</f>
        <v>0</v>
      </c>
      <c r="D15" s="9">
        <f>SUMIFS('3Q'!$F:$F,'3Q'!$A:$A,$A15)</f>
        <v>13505.560000000001</v>
      </c>
      <c r="E15" s="9">
        <f>SUMIFS('4Q'!$F:$F,'4Q'!$A:$A,$A15)</f>
        <v>0</v>
      </c>
      <c r="F15" s="9">
        <f t="shared" si="0"/>
        <v>13505.560000000001</v>
      </c>
    </row>
    <row r="16" spans="1:6" x14ac:dyDescent="0.25">
      <c r="A16" s="8" t="s">
        <v>24</v>
      </c>
      <c r="B16" s="9">
        <f>SUMIFS('1Q'!$F:$F,'1Q'!$A:$A,$A16)</f>
        <v>0</v>
      </c>
      <c r="C16" s="9">
        <f>SUMIFS('2Q'!$F:$F,'2Q'!$A:$A,$A16)</f>
        <v>0</v>
      </c>
      <c r="D16" s="9">
        <f>SUMIFS('3Q'!$F:$F,'3Q'!$A:$A,$A16)</f>
        <v>624437.13</v>
      </c>
      <c r="E16" s="9">
        <f>SUMIFS('4Q'!$F:$F,'4Q'!$A:$A,$A16)</f>
        <v>0</v>
      </c>
      <c r="F16" s="9">
        <f t="shared" si="0"/>
        <v>624437.13</v>
      </c>
    </row>
    <row r="17" spans="1:6" x14ac:dyDescent="0.25">
      <c r="A17" s="8" t="s">
        <v>25</v>
      </c>
      <c r="B17" s="9">
        <f>SUMIFS('1Q'!$F:$F,'1Q'!$A:$A,$A17)</f>
        <v>0</v>
      </c>
      <c r="C17" s="9">
        <f>SUMIFS('2Q'!$F:$F,'2Q'!$A:$A,$A17)</f>
        <v>0</v>
      </c>
      <c r="D17" s="9">
        <f>SUMIFS('3Q'!$F:$F,'3Q'!$A:$A,$A17)</f>
        <v>1708655.07</v>
      </c>
      <c r="E17" s="9">
        <f>SUMIFS('4Q'!$F:$F,'4Q'!$A:$A,$A17)</f>
        <v>0</v>
      </c>
      <c r="F17" s="9">
        <f t="shared" si="0"/>
        <v>1708655.07</v>
      </c>
    </row>
    <row r="18" spans="1:6" x14ac:dyDescent="0.25">
      <c r="A18" s="8" t="s">
        <v>26</v>
      </c>
      <c r="B18" s="9">
        <f>SUMIFS('1Q'!$F:$F,'1Q'!$A:$A,$A18)</f>
        <v>0</v>
      </c>
      <c r="C18" s="9">
        <f>SUMIFS('2Q'!$F:$F,'2Q'!$A:$A,$A18)</f>
        <v>0</v>
      </c>
      <c r="D18" s="9">
        <f>SUMIFS('3Q'!$F:$F,'3Q'!$A:$A,$A18)</f>
        <v>2958273.5300000003</v>
      </c>
      <c r="E18" s="9">
        <f>SUMIFS('4Q'!$F:$F,'4Q'!$A:$A,$A18)</f>
        <v>0</v>
      </c>
      <c r="F18" s="9">
        <f t="shared" si="0"/>
        <v>2958273.5300000003</v>
      </c>
    </row>
    <row r="19" spans="1:6" x14ac:dyDescent="0.25">
      <c r="A19" s="8" t="s">
        <v>27</v>
      </c>
      <c r="B19" s="9">
        <f>SUMIFS('1Q'!$F:$F,'1Q'!$A:$A,$A19)</f>
        <v>0</v>
      </c>
      <c r="C19" s="9">
        <f>SUMIFS('2Q'!$F:$F,'2Q'!$A:$A,$A19)</f>
        <v>0</v>
      </c>
      <c r="D19" s="9">
        <f>SUMIFS('3Q'!$F:$F,'3Q'!$A:$A,$A19)</f>
        <v>68010.92</v>
      </c>
      <c r="E19" s="9">
        <f>SUMIFS('4Q'!$F:$F,'4Q'!$A:$A,$A19)</f>
        <v>0</v>
      </c>
      <c r="F19" s="9">
        <f t="shared" si="0"/>
        <v>68010.92</v>
      </c>
    </row>
    <row r="20" spans="1:6" x14ac:dyDescent="0.25">
      <c r="A20" s="8" t="s">
        <v>28</v>
      </c>
      <c r="B20" s="9">
        <f>SUMIFS('1Q'!$F:$F,'1Q'!$A:$A,$A20)</f>
        <v>0</v>
      </c>
      <c r="C20" s="9">
        <f>SUMIFS('2Q'!$F:$F,'2Q'!$A:$A,$A20)</f>
        <v>0</v>
      </c>
      <c r="D20" s="9">
        <f>SUMIFS('3Q'!$F:$F,'3Q'!$A:$A,$A20)</f>
        <v>103772.79000000001</v>
      </c>
      <c r="E20" s="9">
        <f>SUMIFS('4Q'!$F:$F,'4Q'!$A:$A,$A20)</f>
        <v>0</v>
      </c>
      <c r="F20" s="9">
        <f t="shared" si="0"/>
        <v>103772.79000000001</v>
      </c>
    </row>
    <row r="21" spans="1:6" x14ac:dyDescent="0.25">
      <c r="A21" s="8" t="s">
        <v>29</v>
      </c>
      <c r="B21" s="9">
        <f>SUMIFS('1Q'!$F:$F,'1Q'!$A:$A,$A21)</f>
        <v>0</v>
      </c>
      <c r="C21" s="9">
        <f>SUMIFS('2Q'!$F:$F,'2Q'!$A:$A,$A21)</f>
        <v>0</v>
      </c>
      <c r="D21" s="9">
        <f>SUMIFS('3Q'!$F:$F,'3Q'!$A:$A,$A21)</f>
        <v>118422.82999999999</v>
      </c>
      <c r="E21" s="9">
        <f>SUMIFS('4Q'!$F:$F,'4Q'!$A:$A,$A21)</f>
        <v>0</v>
      </c>
      <c r="F21" s="9">
        <f t="shared" si="0"/>
        <v>118422.82999999999</v>
      </c>
    </row>
    <row r="22" spans="1:6" x14ac:dyDescent="0.25">
      <c r="A22" s="8" t="s">
        <v>30</v>
      </c>
      <c r="B22" s="9">
        <f>SUMIFS('1Q'!$F:$F,'1Q'!$A:$A,$A22)</f>
        <v>0</v>
      </c>
      <c r="C22" s="9">
        <f>SUMIFS('2Q'!$F:$F,'2Q'!$A:$A,$A22)</f>
        <v>0</v>
      </c>
      <c r="D22" s="9">
        <f>SUMIFS('3Q'!$F:$F,'3Q'!$A:$A,$A22)</f>
        <v>1717227.5999999999</v>
      </c>
      <c r="E22" s="9">
        <f>SUMIFS('4Q'!$F:$F,'4Q'!$A:$A,$A22)</f>
        <v>0</v>
      </c>
      <c r="F22" s="9">
        <f t="shared" si="0"/>
        <v>1717227.5999999999</v>
      </c>
    </row>
    <row r="23" spans="1:6" x14ac:dyDescent="0.25">
      <c r="A23" s="10" t="s">
        <v>31</v>
      </c>
      <c r="B23" s="11">
        <f ca="1">SUM(B5:B22)</f>
        <v>0</v>
      </c>
      <c r="C23" s="11">
        <f ca="1">SUM(C5:C22)</f>
        <v>0</v>
      </c>
      <c r="D23" s="11">
        <f>SUM(D5:D22)</f>
        <v>25847241.510000002</v>
      </c>
      <c r="E23" s="11">
        <f ca="1">SUM(E5:E22)</f>
        <v>0</v>
      </c>
      <c r="F23" s="11">
        <f ca="1">SUM(F5:F22)</f>
        <v>25847241.510000002</v>
      </c>
    </row>
    <row r="25" spans="1:6" x14ac:dyDescent="0.25">
      <c r="A25" s="5" t="s">
        <v>32</v>
      </c>
      <c r="B25" s="12">
        <f ca="1">ROUND(SUM('1Q'!$F:$F)-B23,2)</f>
        <v>0</v>
      </c>
      <c r="C25" s="12">
        <f ca="1">ROUND(SUM('2Q'!$F:$F)-C23,2)</f>
        <v>0</v>
      </c>
      <c r="D25" s="12">
        <f>ROUND(SUM('3Q'!$F:$F)-D23,2)</f>
        <v>0</v>
      </c>
      <c r="E25" s="12">
        <f ca="1">ROUND(SUM('4Q'!$F:$F)-E23,2)</f>
        <v>0</v>
      </c>
    </row>
    <row r="27" spans="1:6" x14ac:dyDescent="0.25">
      <c r="A27" s="13" t="s">
        <v>33</v>
      </c>
    </row>
    <row r="28" spans="1:6" x14ac:dyDescent="0.25">
      <c r="A28" s="14" t="s">
        <v>34</v>
      </c>
    </row>
    <row r="29" spans="1:6" x14ac:dyDescent="0.25">
      <c r="A29" s="14" t="s">
        <v>35</v>
      </c>
      <c r="B29" s="15" t="s">
        <v>36</v>
      </c>
    </row>
    <row r="30" spans="1:6" x14ac:dyDescent="0.25">
      <c r="A30" s="14" t="s">
        <v>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5703125" defaultRowHeight="15" x14ac:dyDescent="0.25"/>
  <sheetData>
    <row r="1" spans="1:1" x14ac:dyDescent="0.25">
      <c r="A1" t="s">
        <v>38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Normal="100" workbookViewId="0">
      <selection activeCell="G35" sqref="G35"/>
    </sheetView>
  </sheetViews>
  <sheetFormatPr defaultColWidth="8.570312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3"/>
  <sheetViews>
    <sheetView topLeftCell="A67" zoomScaleNormal="100" workbookViewId="0">
      <selection activeCell="R10" sqref="R10"/>
    </sheetView>
  </sheetViews>
  <sheetFormatPr defaultColWidth="8.5703125" defaultRowHeight="15" x14ac:dyDescent="0.25"/>
  <cols>
    <col min="1" max="1" width="22.7109375" customWidth="1"/>
    <col min="2" max="2" width="15.140625" customWidth="1"/>
    <col min="3" max="3" width="11.42578125" customWidth="1"/>
    <col min="5" max="5" width="13.28515625" customWidth="1"/>
    <col min="6" max="6" width="17.140625" customWidth="1"/>
    <col min="7" max="7" width="36" customWidth="1"/>
  </cols>
  <sheetData>
    <row r="1" spans="1:7" ht="13.5" customHeight="1" x14ac:dyDescent="0.25">
      <c r="A1" s="3" t="s">
        <v>39</v>
      </c>
      <c r="B1" s="3"/>
      <c r="C1" s="3"/>
      <c r="D1" s="3"/>
      <c r="E1" s="3" t="s">
        <v>40</v>
      </c>
      <c r="F1" s="3"/>
      <c r="G1" s="3"/>
    </row>
    <row r="2" spans="1:7" ht="13.5" customHeight="1" x14ac:dyDescent="0.25">
      <c r="A2" s="3" t="s">
        <v>41</v>
      </c>
      <c r="B2" s="3"/>
      <c r="C2" s="3"/>
      <c r="D2" s="3"/>
      <c r="E2" s="3" t="s">
        <v>42</v>
      </c>
      <c r="F2" s="3"/>
      <c r="G2" s="3"/>
    </row>
    <row r="3" spans="1:7" ht="13.5" customHeight="1" x14ac:dyDescent="0.25">
      <c r="A3" s="3" t="s">
        <v>43</v>
      </c>
      <c r="B3" s="3"/>
      <c r="C3" s="3"/>
      <c r="D3" s="3"/>
      <c r="E3" s="3" t="s">
        <v>44</v>
      </c>
      <c r="F3" s="3"/>
      <c r="G3" s="3"/>
    </row>
    <row r="4" spans="1:7" ht="13.5" customHeight="1" x14ac:dyDescent="0.25">
      <c r="A4" s="3" t="s">
        <v>45</v>
      </c>
      <c r="B4" s="3"/>
      <c r="C4" s="3"/>
      <c r="D4" s="3"/>
      <c r="E4" s="3" t="s">
        <v>46</v>
      </c>
      <c r="F4" s="3"/>
      <c r="G4" s="3"/>
    </row>
    <row r="5" spans="1:7" ht="13.5" customHeight="1" x14ac:dyDescent="0.25">
      <c r="A5" s="3" t="s">
        <v>47</v>
      </c>
      <c r="B5" s="3"/>
      <c r="C5" s="3"/>
      <c r="D5" s="3"/>
      <c r="E5" s="3" t="s">
        <v>48</v>
      </c>
      <c r="F5" s="3"/>
      <c r="G5" s="3"/>
    </row>
    <row r="6" spans="1:7" ht="13.5" customHeight="1" x14ac:dyDescent="0.25">
      <c r="A6" s="3" t="s">
        <v>49</v>
      </c>
      <c r="B6" s="3"/>
      <c r="C6" s="3"/>
      <c r="D6" s="3"/>
      <c r="E6" s="3" t="s">
        <v>50</v>
      </c>
      <c r="F6" s="3"/>
      <c r="G6" s="3"/>
    </row>
    <row r="7" spans="1:7" ht="13.5" customHeight="1" x14ac:dyDescent="0.25">
      <c r="A7" s="3" t="s">
        <v>51</v>
      </c>
      <c r="B7" s="3"/>
      <c r="C7" s="3"/>
      <c r="D7" s="3"/>
      <c r="E7" s="3" t="s">
        <v>52</v>
      </c>
      <c r="F7" s="3"/>
      <c r="G7" s="3"/>
    </row>
    <row r="8" spans="1:7" ht="13.5" customHeight="1" x14ac:dyDescent="0.25">
      <c r="A8" s="3" t="s">
        <v>53</v>
      </c>
      <c r="B8" s="3"/>
      <c r="C8" s="3"/>
      <c r="D8" s="3"/>
      <c r="E8" s="3"/>
      <c r="F8" s="3"/>
      <c r="G8" s="3"/>
    </row>
    <row r="9" spans="1:7" ht="42" customHeight="1" x14ac:dyDescent="0.25">
      <c r="A9" s="16" t="s">
        <v>7</v>
      </c>
      <c r="B9" s="16" t="s">
        <v>54</v>
      </c>
      <c r="C9" s="16" t="s">
        <v>55</v>
      </c>
      <c r="D9" s="16" t="s">
        <v>56</v>
      </c>
      <c r="E9" s="16" t="s">
        <v>57</v>
      </c>
      <c r="F9" s="16" t="s">
        <v>58</v>
      </c>
      <c r="G9" s="16" t="s">
        <v>59</v>
      </c>
    </row>
    <row r="10" spans="1:7" ht="210" customHeight="1" x14ac:dyDescent="0.25">
      <c r="A10" s="17" t="s">
        <v>13</v>
      </c>
      <c r="B10" s="17" t="s">
        <v>36</v>
      </c>
      <c r="C10" s="17" t="s">
        <v>60</v>
      </c>
      <c r="D10" s="17" t="s">
        <v>61</v>
      </c>
      <c r="E10" s="17" t="s">
        <v>62</v>
      </c>
      <c r="F10" s="18">
        <v>368001.46</v>
      </c>
      <c r="G10" s="17" t="s">
        <v>63</v>
      </c>
    </row>
    <row r="11" spans="1:7" ht="42" customHeight="1" x14ac:dyDescent="0.25">
      <c r="A11" s="17" t="s">
        <v>13</v>
      </c>
      <c r="B11" s="17" t="s">
        <v>64</v>
      </c>
      <c r="C11" s="17" t="s">
        <v>60</v>
      </c>
      <c r="D11" s="17" t="s">
        <v>61</v>
      </c>
      <c r="E11" s="17" t="s">
        <v>62</v>
      </c>
      <c r="F11" s="18">
        <v>1023.38</v>
      </c>
      <c r="G11" s="17" t="s">
        <v>65</v>
      </c>
    </row>
    <row r="12" spans="1:7" ht="223.5" customHeight="1" x14ac:dyDescent="0.25">
      <c r="A12" s="17" t="s">
        <v>13</v>
      </c>
      <c r="B12" s="17" t="s">
        <v>64</v>
      </c>
      <c r="C12" s="17" t="s">
        <v>60</v>
      </c>
      <c r="D12" s="17" t="s">
        <v>61</v>
      </c>
      <c r="E12" s="17" t="s">
        <v>62</v>
      </c>
      <c r="F12" s="18">
        <v>1552481.51</v>
      </c>
      <c r="G12" s="17" t="s">
        <v>66</v>
      </c>
    </row>
    <row r="13" spans="1:7" ht="223.5" customHeight="1" x14ac:dyDescent="0.25">
      <c r="A13" s="17" t="s">
        <v>13</v>
      </c>
      <c r="B13" s="17" t="s">
        <v>36</v>
      </c>
      <c r="C13" s="17" t="s">
        <v>60</v>
      </c>
      <c r="D13" s="17" t="s">
        <v>61</v>
      </c>
      <c r="E13" s="17" t="s">
        <v>62</v>
      </c>
      <c r="F13" s="18">
        <v>1034525.36</v>
      </c>
      <c r="G13" s="17" t="s">
        <v>67</v>
      </c>
    </row>
    <row r="14" spans="1:7" ht="42" customHeight="1" x14ac:dyDescent="0.25">
      <c r="A14" s="17" t="s">
        <v>13</v>
      </c>
      <c r="B14" s="17" t="s">
        <v>64</v>
      </c>
      <c r="C14" s="17" t="s">
        <v>60</v>
      </c>
      <c r="D14" s="17" t="s">
        <v>61</v>
      </c>
      <c r="E14" s="17" t="s">
        <v>62</v>
      </c>
      <c r="F14" s="18">
        <v>6727.33</v>
      </c>
      <c r="G14" s="17" t="s">
        <v>68</v>
      </c>
    </row>
    <row r="15" spans="1:7" ht="42" customHeight="1" x14ac:dyDescent="0.25">
      <c r="A15" s="17" t="s">
        <v>13</v>
      </c>
      <c r="B15" s="17" t="s">
        <v>64</v>
      </c>
      <c r="C15" s="17" t="s">
        <v>60</v>
      </c>
      <c r="D15" s="17" t="s">
        <v>61</v>
      </c>
      <c r="E15" s="17" t="s">
        <v>62</v>
      </c>
      <c r="F15" s="18">
        <v>7685.55</v>
      </c>
      <c r="G15" s="17" t="s">
        <v>69</v>
      </c>
    </row>
    <row r="16" spans="1:7" ht="42" customHeight="1" x14ac:dyDescent="0.25">
      <c r="A16" s="17" t="s">
        <v>13</v>
      </c>
      <c r="B16" s="17" t="s">
        <v>64</v>
      </c>
      <c r="C16" s="17" t="s">
        <v>60</v>
      </c>
      <c r="D16" s="17" t="s">
        <v>61</v>
      </c>
      <c r="E16" s="17" t="s">
        <v>62</v>
      </c>
      <c r="F16" s="18">
        <v>1773.65</v>
      </c>
      <c r="G16" s="17" t="s">
        <v>70</v>
      </c>
    </row>
    <row r="17" spans="1:7" ht="42" customHeight="1" x14ac:dyDescent="0.25">
      <c r="A17" s="17" t="s">
        <v>13</v>
      </c>
      <c r="B17" s="17" t="s">
        <v>64</v>
      </c>
      <c r="C17" s="17" t="s">
        <v>60</v>
      </c>
      <c r="D17" s="17" t="s">
        <v>61</v>
      </c>
      <c r="E17" s="17" t="s">
        <v>62</v>
      </c>
      <c r="F17" s="18">
        <v>414.68</v>
      </c>
      <c r="G17" s="17" t="s">
        <v>71</v>
      </c>
    </row>
    <row r="18" spans="1:7" ht="42" customHeight="1" x14ac:dyDescent="0.25">
      <c r="A18" s="17" t="s">
        <v>13</v>
      </c>
      <c r="B18" s="17" t="s">
        <v>64</v>
      </c>
      <c r="C18" s="17" t="s">
        <v>60</v>
      </c>
      <c r="D18" s="17" t="s">
        <v>61</v>
      </c>
      <c r="E18" s="17" t="s">
        <v>62</v>
      </c>
      <c r="F18" s="18">
        <v>1268.6400000000001</v>
      </c>
      <c r="G18" s="17" t="s">
        <v>72</v>
      </c>
    </row>
    <row r="19" spans="1:7" ht="42" customHeight="1" x14ac:dyDescent="0.25">
      <c r="A19" s="17" t="s">
        <v>13</v>
      </c>
      <c r="B19" s="17" t="s">
        <v>64</v>
      </c>
      <c r="C19" s="17" t="s">
        <v>60</v>
      </c>
      <c r="D19" s="17" t="s">
        <v>61</v>
      </c>
      <c r="E19" s="17" t="s">
        <v>62</v>
      </c>
      <c r="F19" s="18">
        <v>1025.47</v>
      </c>
      <c r="G19" s="17" t="s">
        <v>73</v>
      </c>
    </row>
    <row r="20" spans="1:7" ht="55.5" customHeight="1" x14ac:dyDescent="0.25">
      <c r="A20" s="17" t="s">
        <v>13</v>
      </c>
      <c r="B20" s="17" t="s">
        <v>74</v>
      </c>
      <c r="C20" s="17" t="s">
        <v>60</v>
      </c>
      <c r="D20" s="17" t="s">
        <v>61</v>
      </c>
      <c r="E20" s="17" t="s">
        <v>62</v>
      </c>
      <c r="F20" s="18">
        <v>312609.08</v>
      </c>
      <c r="G20" s="17" t="s">
        <v>75</v>
      </c>
    </row>
    <row r="21" spans="1:7" ht="223.5" customHeight="1" x14ac:dyDescent="0.25">
      <c r="A21" s="17" t="s">
        <v>13</v>
      </c>
      <c r="B21" s="17" t="s">
        <v>64</v>
      </c>
      <c r="C21" s="17" t="s">
        <v>60</v>
      </c>
      <c r="D21" s="17" t="s">
        <v>76</v>
      </c>
      <c r="E21" s="17" t="s">
        <v>62</v>
      </c>
      <c r="F21" s="18">
        <v>17750.09</v>
      </c>
      <c r="G21" s="17" t="s">
        <v>77</v>
      </c>
    </row>
    <row r="22" spans="1:7" ht="223.5" customHeight="1" x14ac:dyDescent="0.25">
      <c r="A22" s="17" t="s">
        <v>13</v>
      </c>
      <c r="B22" s="17" t="s">
        <v>36</v>
      </c>
      <c r="C22" s="17" t="s">
        <v>60</v>
      </c>
      <c r="D22" s="17" t="s">
        <v>78</v>
      </c>
      <c r="E22" s="17" t="s">
        <v>62</v>
      </c>
      <c r="F22" s="18">
        <v>28230.47</v>
      </c>
      <c r="G22" s="17" t="s">
        <v>79</v>
      </c>
    </row>
    <row r="23" spans="1:7" ht="223.5" customHeight="1" x14ac:dyDescent="0.25">
      <c r="A23" s="17" t="s">
        <v>13</v>
      </c>
      <c r="B23" s="17" t="s">
        <v>36</v>
      </c>
      <c r="C23" s="17" t="s">
        <v>60</v>
      </c>
      <c r="D23" s="17" t="s">
        <v>78</v>
      </c>
      <c r="E23" s="17" t="s">
        <v>62</v>
      </c>
      <c r="F23" s="18">
        <v>17627.669999999998</v>
      </c>
      <c r="G23" s="17" t="s">
        <v>80</v>
      </c>
    </row>
    <row r="24" spans="1:7" ht="27.75" customHeight="1" x14ac:dyDescent="0.25">
      <c r="A24" s="17" t="s">
        <v>13</v>
      </c>
      <c r="B24" s="17" t="s">
        <v>81</v>
      </c>
      <c r="C24" s="17" t="s">
        <v>60</v>
      </c>
      <c r="D24" s="17" t="s">
        <v>82</v>
      </c>
      <c r="E24" s="17" t="s">
        <v>62</v>
      </c>
      <c r="F24" s="18">
        <v>80537.87</v>
      </c>
      <c r="G24" s="17" t="s">
        <v>83</v>
      </c>
    </row>
    <row r="25" spans="1:7" ht="27.75" customHeight="1" x14ac:dyDescent="0.25">
      <c r="A25" s="17" t="s">
        <v>13</v>
      </c>
      <c r="B25" s="17" t="s">
        <v>81</v>
      </c>
      <c r="C25" s="17" t="s">
        <v>60</v>
      </c>
      <c r="D25" s="17" t="s">
        <v>84</v>
      </c>
      <c r="E25" s="17" t="s">
        <v>62</v>
      </c>
      <c r="F25" s="18">
        <v>80601.429999999993</v>
      </c>
      <c r="G25" s="17" t="s">
        <v>83</v>
      </c>
    </row>
    <row r="26" spans="1:7" ht="223.5" customHeight="1" x14ac:dyDescent="0.25">
      <c r="A26" s="17" t="s">
        <v>13</v>
      </c>
      <c r="B26" s="17" t="s">
        <v>36</v>
      </c>
      <c r="C26" s="17" t="s">
        <v>60</v>
      </c>
      <c r="D26" s="17" t="s">
        <v>85</v>
      </c>
      <c r="E26" s="17" t="s">
        <v>62</v>
      </c>
      <c r="F26" s="18">
        <v>32329.61</v>
      </c>
      <c r="G26" s="17" t="s">
        <v>86</v>
      </c>
    </row>
    <row r="27" spans="1:7" ht="223.5" customHeight="1" x14ac:dyDescent="0.25">
      <c r="A27" s="17" t="s">
        <v>13</v>
      </c>
      <c r="B27" s="17" t="s">
        <v>36</v>
      </c>
      <c r="C27" s="17" t="s">
        <v>60</v>
      </c>
      <c r="D27" s="17" t="s">
        <v>85</v>
      </c>
      <c r="E27" s="17" t="s">
        <v>62</v>
      </c>
      <c r="F27" s="18">
        <v>35358.76</v>
      </c>
      <c r="G27" s="17" t="s">
        <v>87</v>
      </c>
    </row>
    <row r="28" spans="1:7" ht="27.75" customHeight="1" x14ac:dyDescent="0.25">
      <c r="A28" s="17" t="s">
        <v>13</v>
      </c>
      <c r="B28" s="17" t="s">
        <v>81</v>
      </c>
      <c r="C28" s="17" t="s">
        <v>60</v>
      </c>
      <c r="D28" s="17" t="s">
        <v>88</v>
      </c>
      <c r="E28" s="17" t="s">
        <v>62</v>
      </c>
      <c r="F28" s="18">
        <v>99999</v>
      </c>
      <c r="G28" s="17" t="s">
        <v>83</v>
      </c>
    </row>
    <row r="29" spans="1:7" ht="27.75" customHeight="1" x14ac:dyDescent="0.25">
      <c r="A29" s="17" t="s">
        <v>13</v>
      </c>
      <c r="B29" s="17" t="s">
        <v>81</v>
      </c>
      <c r="C29" s="17" t="s">
        <v>60</v>
      </c>
      <c r="D29" s="17" t="s">
        <v>89</v>
      </c>
      <c r="E29" s="17" t="s">
        <v>62</v>
      </c>
      <c r="F29" s="18">
        <v>51297.23</v>
      </c>
      <c r="G29" s="17" t="s">
        <v>83</v>
      </c>
    </row>
    <row r="30" spans="1:7" ht="55.5" customHeight="1" x14ac:dyDescent="0.25">
      <c r="A30" s="17" t="s">
        <v>13</v>
      </c>
      <c r="B30" s="17" t="s">
        <v>74</v>
      </c>
      <c r="C30" s="17" t="s">
        <v>60</v>
      </c>
      <c r="D30" s="17" t="s">
        <v>90</v>
      </c>
      <c r="E30" s="17" t="s">
        <v>62</v>
      </c>
      <c r="F30" s="18">
        <v>307117.51</v>
      </c>
      <c r="G30" s="17" t="s">
        <v>91</v>
      </c>
    </row>
    <row r="31" spans="1:7" ht="42" customHeight="1" x14ac:dyDescent="0.25">
      <c r="A31" s="17" t="s">
        <v>13</v>
      </c>
      <c r="B31" s="17" t="s">
        <v>64</v>
      </c>
      <c r="C31" s="17" t="s">
        <v>60</v>
      </c>
      <c r="D31" s="17" t="s">
        <v>92</v>
      </c>
      <c r="E31" s="17" t="s">
        <v>62</v>
      </c>
      <c r="F31" s="18">
        <v>2319.9699999999998</v>
      </c>
      <c r="G31" s="17" t="s">
        <v>70</v>
      </c>
    </row>
    <row r="32" spans="1:7" ht="42" customHeight="1" x14ac:dyDescent="0.25">
      <c r="A32" s="17" t="s">
        <v>13</v>
      </c>
      <c r="B32" s="17" t="s">
        <v>64</v>
      </c>
      <c r="C32" s="17" t="s">
        <v>60</v>
      </c>
      <c r="D32" s="17" t="s">
        <v>92</v>
      </c>
      <c r="E32" s="17" t="s">
        <v>62</v>
      </c>
      <c r="F32" s="18">
        <v>1094.49</v>
      </c>
      <c r="G32" s="17" t="s">
        <v>65</v>
      </c>
    </row>
    <row r="33" spans="1:7" ht="42" customHeight="1" x14ac:dyDescent="0.25">
      <c r="A33" s="17" t="s">
        <v>13</v>
      </c>
      <c r="B33" s="17" t="s">
        <v>64</v>
      </c>
      <c r="C33" s="17" t="s">
        <v>60</v>
      </c>
      <c r="D33" s="17" t="s">
        <v>92</v>
      </c>
      <c r="E33" s="17" t="s">
        <v>62</v>
      </c>
      <c r="F33" s="18">
        <v>7941.73</v>
      </c>
      <c r="G33" s="17" t="s">
        <v>69</v>
      </c>
    </row>
    <row r="34" spans="1:7" ht="210" customHeight="1" x14ac:dyDescent="0.25">
      <c r="A34" s="17" t="s">
        <v>13</v>
      </c>
      <c r="B34" s="17" t="s">
        <v>36</v>
      </c>
      <c r="C34" s="17" t="s">
        <v>60</v>
      </c>
      <c r="D34" s="17" t="s">
        <v>92</v>
      </c>
      <c r="E34" s="17" t="s">
        <v>62</v>
      </c>
      <c r="F34" s="18">
        <v>807671.58</v>
      </c>
      <c r="G34" s="17" t="s">
        <v>93</v>
      </c>
    </row>
    <row r="35" spans="1:7" ht="42" customHeight="1" x14ac:dyDescent="0.25">
      <c r="A35" s="17" t="s">
        <v>13</v>
      </c>
      <c r="B35" s="17" t="s">
        <v>64</v>
      </c>
      <c r="C35" s="17" t="s">
        <v>60</v>
      </c>
      <c r="D35" s="17" t="s">
        <v>92</v>
      </c>
      <c r="E35" s="17" t="s">
        <v>62</v>
      </c>
      <c r="F35" s="18">
        <v>1135.8</v>
      </c>
      <c r="G35" s="17" t="s">
        <v>68</v>
      </c>
    </row>
    <row r="36" spans="1:7" ht="42" customHeight="1" x14ac:dyDescent="0.25">
      <c r="A36" s="17" t="s">
        <v>13</v>
      </c>
      <c r="B36" s="17" t="s">
        <v>64</v>
      </c>
      <c r="C36" s="17" t="s">
        <v>60</v>
      </c>
      <c r="D36" s="17" t="s">
        <v>92</v>
      </c>
      <c r="E36" s="17" t="s">
        <v>62</v>
      </c>
      <c r="F36" s="18">
        <v>3294.41</v>
      </c>
      <c r="G36" s="17" t="s">
        <v>72</v>
      </c>
    </row>
    <row r="37" spans="1:7" ht="42" customHeight="1" x14ac:dyDescent="0.25">
      <c r="A37" s="17" t="s">
        <v>13</v>
      </c>
      <c r="B37" s="17" t="s">
        <v>64</v>
      </c>
      <c r="C37" s="17" t="s">
        <v>60</v>
      </c>
      <c r="D37" s="17" t="s">
        <v>92</v>
      </c>
      <c r="E37" s="17" t="s">
        <v>62</v>
      </c>
      <c r="F37" s="18">
        <v>1504.58</v>
      </c>
      <c r="G37" s="17" t="s">
        <v>73</v>
      </c>
    </row>
    <row r="38" spans="1:7" ht="42" customHeight="1" x14ac:dyDescent="0.25">
      <c r="A38" s="17" t="s">
        <v>13</v>
      </c>
      <c r="B38" s="17" t="s">
        <v>64</v>
      </c>
      <c r="C38" s="17" t="s">
        <v>60</v>
      </c>
      <c r="D38" s="17" t="s">
        <v>92</v>
      </c>
      <c r="E38" s="17" t="s">
        <v>62</v>
      </c>
      <c r="F38" s="18">
        <v>240.42</v>
      </c>
      <c r="G38" s="17" t="s">
        <v>71</v>
      </c>
    </row>
    <row r="39" spans="1:7" ht="223.5" customHeight="1" x14ac:dyDescent="0.25">
      <c r="A39" s="17" t="s">
        <v>13</v>
      </c>
      <c r="B39" s="17" t="s">
        <v>36</v>
      </c>
      <c r="C39" s="17" t="s">
        <v>60</v>
      </c>
      <c r="D39" s="17" t="s">
        <v>92</v>
      </c>
      <c r="E39" s="17" t="s">
        <v>62</v>
      </c>
      <c r="F39" s="18">
        <v>1511607.12</v>
      </c>
      <c r="G39" s="17" t="s">
        <v>94</v>
      </c>
    </row>
    <row r="40" spans="1:7" ht="223.5" customHeight="1" x14ac:dyDescent="0.25">
      <c r="A40" s="17" t="s">
        <v>13</v>
      </c>
      <c r="B40" s="17" t="s">
        <v>64</v>
      </c>
      <c r="C40" s="17" t="s">
        <v>60</v>
      </c>
      <c r="D40" s="17" t="s">
        <v>92</v>
      </c>
      <c r="E40" s="17" t="s">
        <v>62</v>
      </c>
      <c r="F40" s="18">
        <v>3250927.46</v>
      </c>
      <c r="G40" s="17" t="s">
        <v>95</v>
      </c>
    </row>
    <row r="41" spans="1:7" ht="223.5" customHeight="1" x14ac:dyDescent="0.25">
      <c r="A41" s="17" t="s">
        <v>13</v>
      </c>
      <c r="B41" s="17" t="s">
        <v>36</v>
      </c>
      <c r="C41" s="17" t="s">
        <v>60</v>
      </c>
      <c r="D41" s="17" t="s">
        <v>96</v>
      </c>
      <c r="E41" s="17" t="s">
        <v>62</v>
      </c>
      <c r="F41" s="18">
        <v>792.97</v>
      </c>
      <c r="G41" s="17" t="s">
        <v>97</v>
      </c>
    </row>
    <row r="42" spans="1:7" ht="223.5" customHeight="1" x14ac:dyDescent="0.25">
      <c r="A42" s="17" t="s">
        <v>13</v>
      </c>
      <c r="B42" s="17" t="s">
        <v>64</v>
      </c>
      <c r="C42" s="17" t="s">
        <v>60</v>
      </c>
      <c r="D42" s="17" t="s">
        <v>96</v>
      </c>
      <c r="E42" s="17" t="s">
        <v>62</v>
      </c>
      <c r="F42" s="18">
        <v>4936.1000000000004</v>
      </c>
      <c r="G42" s="17" t="s">
        <v>98</v>
      </c>
    </row>
    <row r="43" spans="1:7" ht="223.5" customHeight="1" x14ac:dyDescent="0.25">
      <c r="A43" s="17" t="s">
        <v>13</v>
      </c>
      <c r="B43" s="17" t="s">
        <v>36</v>
      </c>
      <c r="C43" s="17" t="s">
        <v>60</v>
      </c>
      <c r="D43" s="17" t="s">
        <v>96</v>
      </c>
      <c r="E43" s="17" t="s">
        <v>62</v>
      </c>
      <c r="F43" s="18">
        <v>9516.69</v>
      </c>
      <c r="G43" s="17" t="s">
        <v>99</v>
      </c>
    </row>
    <row r="44" spans="1:7" ht="223.5" customHeight="1" x14ac:dyDescent="0.25">
      <c r="A44" s="17" t="s">
        <v>13</v>
      </c>
      <c r="B44" s="17" t="s">
        <v>36</v>
      </c>
      <c r="C44" s="17" t="s">
        <v>60</v>
      </c>
      <c r="D44" s="17" t="s">
        <v>96</v>
      </c>
      <c r="E44" s="17" t="s">
        <v>62</v>
      </c>
      <c r="F44" s="18">
        <v>1189.3900000000001</v>
      </c>
      <c r="G44" s="17" t="s">
        <v>100</v>
      </c>
    </row>
    <row r="45" spans="1:7" ht="223.5" customHeight="1" x14ac:dyDescent="0.25">
      <c r="A45" s="17" t="s">
        <v>13</v>
      </c>
      <c r="B45" s="17" t="s">
        <v>36</v>
      </c>
      <c r="C45" s="17" t="s">
        <v>60</v>
      </c>
      <c r="D45" s="17" t="s">
        <v>101</v>
      </c>
      <c r="E45" s="17" t="s">
        <v>62</v>
      </c>
      <c r="F45" s="18">
        <v>3254.72</v>
      </c>
      <c r="G45" s="17" t="s">
        <v>102</v>
      </c>
    </row>
    <row r="46" spans="1:7" ht="27.75" customHeight="1" x14ac:dyDescent="0.25">
      <c r="A46" s="17" t="s">
        <v>13</v>
      </c>
      <c r="B46" s="17" t="s">
        <v>81</v>
      </c>
      <c r="C46" s="17" t="s">
        <v>60</v>
      </c>
      <c r="D46" s="17" t="s">
        <v>103</v>
      </c>
      <c r="E46" s="17" t="s">
        <v>62</v>
      </c>
      <c r="F46" s="18">
        <v>90882.46</v>
      </c>
      <c r="G46" s="17" t="s">
        <v>83</v>
      </c>
    </row>
    <row r="47" spans="1:7" ht="27.75" customHeight="1" x14ac:dyDescent="0.25">
      <c r="A47" s="17" t="s">
        <v>13</v>
      </c>
      <c r="B47" s="17" t="s">
        <v>81</v>
      </c>
      <c r="C47" s="17" t="s">
        <v>60</v>
      </c>
      <c r="D47" s="17" t="s">
        <v>104</v>
      </c>
      <c r="E47" s="17" t="s">
        <v>62</v>
      </c>
      <c r="F47" s="18">
        <v>80856.11</v>
      </c>
      <c r="G47" s="17" t="s">
        <v>83</v>
      </c>
    </row>
    <row r="48" spans="1:7" ht="27.75" customHeight="1" x14ac:dyDescent="0.25">
      <c r="A48" s="17" t="s">
        <v>13</v>
      </c>
      <c r="B48" s="17" t="s">
        <v>81</v>
      </c>
      <c r="C48" s="17" t="s">
        <v>60</v>
      </c>
      <c r="D48" s="17" t="s">
        <v>105</v>
      </c>
      <c r="E48" s="17" t="s">
        <v>62</v>
      </c>
      <c r="F48" s="18">
        <v>80919.91</v>
      </c>
      <c r="G48" s="17" t="s">
        <v>83</v>
      </c>
    </row>
    <row r="49" spans="1:7" ht="223.5" customHeight="1" x14ac:dyDescent="0.25">
      <c r="A49" s="17" t="s">
        <v>13</v>
      </c>
      <c r="B49" s="17" t="s">
        <v>64</v>
      </c>
      <c r="C49" s="17" t="s">
        <v>60</v>
      </c>
      <c r="D49" s="17" t="s">
        <v>106</v>
      </c>
      <c r="E49" s="17" t="s">
        <v>62</v>
      </c>
      <c r="F49" s="18">
        <v>49980.36</v>
      </c>
      <c r="G49" s="17" t="s">
        <v>107</v>
      </c>
    </row>
    <row r="50" spans="1:7" ht="27.75" customHeight="1" x14ac:dyDescent="0.25">
      <c r="A50" s="17" t="s">
        <v>13</v>
      </c>
      <c r="B50" s="17" t="s">
        <v>81</v>
      </c>
      <c r="C50" s="17" t="s">
        <v>60</v>
      </c>
      <c r="D50" s="17" t="s">
        <v>108</v>
      </c>
      <c r="E50" s="17" t="s">
        <v>62</v>
      </c>
      <c r="F50" s="18">
        <v>60737.82</v>
      </c>
      <c r="G50" s="17" t="s">
        <v>83</v>
      </c>
    </row>
    <row r="51" spans="1:7" ht="55.5" customHeight="1" x14ac:dyDescent="0.25">
      <c r="A51" s="17" t="s">
        <v>13</v>
      </c>
      <c r="B51" s="17" t="s">
        <v>74</v>
      </c>
      <c r="C51" s="17" t="s">
        <v>60</v>
      </c>
      <c r="D51" s="17" t="s">
        <v>109</v>
      </c>
      <c r="E51" s="17" t="s">
        <v>62</v>
      </c>
      <c r="F51" s="18">
        <v>315062.43</v>
      </c>
      <c r="G51" s="17" t="s">
        <v>110</v>
      </c>
    </row>
    <row r="52" spans="1:7" ht="223.5" customHeight="1" x14ac:dyDescent="0.25">
      <c r="A52" s="17" t="s">
        <v>13</v>
      </c>
      <c r="B52" s="17" t="s">
        <v>64</v>
      </c>
      <c r="C52" s="17" t="s">
        <v>60</v>
      </c>
      <c r="D52" s="17" t="s">
        <v>109</v>
      </c>
      <c r="E52" s="17" t="s">
        <v>62</v>
      </c>
      <c r="F52" s="18">
        <v>2435170.44</v>
      </c>
      <c r="G52" s="17" t="s">
        <v>111</v>
      </c>
    </row>
    <row r="53" spans="1:7" ht="42" customHeight="1" x14ac:dyDescent="0.25">
      <c r="A53" s="17" t="s">
        <v>13</v>
      </c>
      <c r="B53" s="17" t="s">
        <v>64</v>
      </c>
      <c r="C53" s="17" t="s">
        <v>60</v>
      </c>
      <c r="D53" s="17" t="s">
        <v>109</v>
      </c>
      <c r="E53" s="17" t="s">
        <v>62</v>
      </c>
      <c r="F53" s="18">
        <v>2534.86</v>
      </c>
      <c r="G53" s="17" t="s">
        <v>70</v>
      </c>
    </row>
    <row r="54" spans="1:7" ht="42" customHeight="1" x14ac:dyDescent="0.25">
      <c r="A54" s="17" t="s">
        <v>13</v>
      </c>
      <c r="B54" s="17" t="s">
        <v>64</v>
      </c>
      <c r="C54" s="17" t="s">
        <v>60</v>
      </c>
      <c r="D54" s="17" t="s">
        <v>109</v>
      </c>
      <c r="E54" s="17" t="s">
        <v>62</v>
      </c>
      <c r="F54" s="18">
        <v>1779.55</v>
      </c>
      <c r="G54" s="17" t="s">
        <v>71</v>
      </c>
    </row>
    <row r="55" spans="1:7" ht="42" customHeight="1" x14ac:dyDescent="0.25">
      <c r="A55" s="17" t="s">
        <v>13</v>
      </c>
      <c r="B55" s="17" t="s">
        <v>64</v>
      </c>
      <c r="C55" s="17" t="s">
        <v>60</v>
      </c>
      <c r="D55" s="17" t="s">
        <v>109</v>
      </c>
      <c r="E55" s="17" t="s">
        <v>62</v>
      </c>
      <c r="F55" s="18">
        <v>1050.74</v>
      </c>
      <c r="G55" s="17" t="s">
        <v>65</v>
      </c>
    </row>
    <row r="56" spans="1:7" ht="223.5" customHeight="1" x14ac:dyDescent="0.25">
      <c r="A56" s="17" t="s">
        <v>13</v>
      </c>
      <c r="B56" s="17" t="s">
        <v>36</v>
      </c>
      <c r="C56" s="17" t="s">
        <v>60</v>
      </c>
      <c r="D56" s="17" t="s">
        <v>109</v>
      </c>
      <c r="E56" s="17" t="s">
        <v>62</v>
      </c>
      <c r="F56" s="18">
        <v>1249895.1299999999</v>
      </c>
      <c r="G56" s="17" t="s">
        <v>112</v>
      </c>
    </row>
    <row r="57" spans="1:7" ht="210" customHeight="1" x14ac:dyDescent="0.25">
      <c r="A57" s="17" t="s">
        <v>13</v>
      </c>
      <c r="B57" s="17" t="s">
        <v>36</v>
      </c>
      <c r="C57" s="17" t="s">
        <v>60</v>
      </c>
      <c r="D57" s="17" t="s">
        <v>109</v>
      </c>
      <c r="E57" s="17" t="s">
        <v>62</v>
      </c>
      <c r="F57" s="18">
        <v>758111.3</v>
      </c>
      <c r="G57" s="17" t="s">
        <v>113</v>
      </c>
    </row>
    <row r="58" spans="1:7" ht="42" customHeight="1" x14ac:dyDescent="0.25">
      <c r="A58" s="17" t="s">
        <v>13</v>
      </c>
      <c r="B58" s="17" t="s">
        <v>64</v>
      </c>
      <c r="C58" s="17" t="s">
        <v>60</v>
      </c>
      <c r="D58" s="17" t="s">
        <v>109</v>
      </c>
      <c r="E58" s="17" t="s">
        <v>62</v>
      </c>
      <c r="F58" s="18">
        <v>427.51</v>
      </c>
      <c r="G58" s="17" t="s">
        <v>68</v>
      </c>
    </row>
    <row r="59" spans="1:7" ht="42" customHeight="1" x14ac:dyDescent="0.25">
      <c r="A59" s="17" t="s">
        <v>13</v>
      </c>
      <c r="B59" s="17" t="s">
        <v>64</v>
      </c>
      <c r="C59" s="17" t="s">
        <v>60</v>
      </c>
      <c r="D59" s="17" t="s">
        <v>109</v>
      </c>
      <c r="E59" s="17" t="s">
        <v>62</v>
      </c>
      <c r="F59" s="18">
        <v>3788.35</v>
      </c>
      <c r="G59" s="17" t="s">
        <v>72</v>
      </c>
    </row>
    <row r="60" spans="1:7" ht="42" customHeight="1" x14ac:dyDescent="0.25">
      <c r="A60" s="17" t="s">
        <v>13</v>
      </c>
      <c r="B60" s="17" t="s">
        <v>64</v>
      </c>
      <c r="C60" s="17" t="s">
        <v>60</v>
      </c>
      <c r="D60" s="17" t="s">
        <v>109</v>
      </c>
      <c r="E60" s="17" t="s">
        <v>62</v>
      </c>
      <c r="F60" s="18">
        <v>7941.37</v>
      </c>
      <c r="G60" s="17" t="s">
        <v>69</v>
      </c>
    </row>
    <row r="61" spans="1:7" ht="42" customHeight="1" x14ac:dyDescent="0.25">
      <c r="A61" s="17" t="s">
        <v>13</v>
      </c>
      <c r="B61" s="17" t="s">
        <v>64</v>
      </c>
      <c r="C61" s="17" t="s">
        <v>60</v>
      </c>
      <c r="D61" s="17" t="s">
        <v>109</v>
      </c>
      <c r="E61" s="17" t="s">
        <v>62</v>
      </c>
      <c r="F61" s="18">
        <v>1460.18</v>
      </c>
      <c r="G61" s="17" t="s">
        <v>73</v>
      </c>
    </row>
    <row r="62" spans="1:7" ht="223.5" customHeight="1" x14ac:dyDescent="0.25">
      <c r="A62" s="17" t="s">
        <v>13</v>
      </c>
      <c r="B62" s="17" t="s">
        <v>64</v>
      </c>
      <c r="C62" s="17" t="s">
        <v>60</v>
      </c>
      <c r="D62" s="17" t="s">
        <v>114</v>
      </c>
      <c r="E62" s="17" t="s">
        <v>62</v>
      </c>
      <c r="F62" s="18">
        <v>48227.03</v>
      </c>
      <c r="G62" s="17" t="s">
        <v>115</v>
      </c>
    </row>
    <row r="63" spans="1:7" ht="27.75" customHeight="1" x14ac:dyDescent="0.25">
      <c r="A63" s="17" t="s">
        <v>13</v>
      </c>
      <c r="B63" s="17" t="s">
        <v>81</v>
      </c>
      <c r="C63" s="17" t="s">
        <v>60</v>
      </c>
      <c r="D63" s="17" t="s">
        <v>116</v>
      </c>
      <c r="E63" s="17" t="s">
        <v>62</v>
      </c>
      <c r="F63" s="18">
        <v>81031.679999999993</v>
      </c>
      <c r="G63" s="17" t="s">
        <v>83</v>
      </c>
    </row>
    <row r="64" spans="1:7" ht="223.5" customHeight="1" x14ac:dyDescent="0.25">
      <c r="A64" s="17" t="s">
        <v>13</v>
      </c>
      <c r="B64" s="17" t="s">
        <v>64</v>
      </c>
      <c r="C64" s="17" t="s">
        <v>60</v>
      </c>
      <c r="D64" s="17" t="s">
        <v>116</v>
      </c>
      <c r="E64" s="17" t="s">
        <v>62</v>
      </c>
      <c r="F64" s="18">
        <v>4562.83</v>
      </c>
      <c r="G64" s="17" t="s">
        <v>117</v>
      </c>
    </row>
    <row r="65" spans="1:7" ht="27.75" customHeight="1" x14ac:dyDescent="0.25">
      <c r="A65" s="17" t="s">
        <v>13</v>
      </c>
      <c r="B65" s="17" t="s">
        <v>81</v>
      </c>
      <c r="C65" s="17" t="s">
        <v>60</v>
      </c>
      <c r="D65" s="17" t="s">
        <v>118</v>
      </c>
      <c r="E65" s="17" t="s">
        <v>62</v>
      </c>
      <c r="F65" s="18">
        <v>81095.63</v>
      </c>
      <c r="G65" s="17" t="s">
        <v>83</v>
      </c>
    </row>
    <row r="66" spans="1:7" ht="223.5" customHeight="1" x14ac:dyDescent="0.25">
      <c r="A66" s="17" t="s">
        <v>13</v>
      </c>
      <c r="B66" s="17" t="s">
        <v>36</v>
      </c>
      <c r="C66" s="17" t="s">
        <v>60</v>
      </c>
      <c r="D66" s="17" t="s">
        <v>119</v>
      </c>
      <c r="E66" s="17" t="s">
        <v>62</v>
      </c>
      <c r="F66" s="18">
        <v>3105.85</v>
      </c>
      <c r="G66" s="17" t="s">
        <v>120</v>
      </c>
    </row>
    <row r="67" spans="1:7" ht="223.5" customHeight="1" x14ac:dyDescent="0.25">
      <c r="A67" s="17" t="s">
        <v>13</v>
      </c>
      <c r="B67" s="17" t="s">
        <v>36</v>
      </c>
      <c r="C67" s="17" t="s">
        <v>60</v>
      </c>
      <c r="D67" s="17" t="s">
        <v>119</v>
      </c>
      <c r="E67" s="17" t="s">
        <v>62</v>
      </c>
      <c r="F67" s="18">
        <v>13219.29</v>
      </c>
      <c r="G67" s="17" t="s">
        <v>121</v>
      </c>
    </row>
    <row r="68" spans="1:7" ht="223.5" customHeight="1" x14ac:dyDescent="0.25">
      <c r="A68" s="17" t="s">
        <v>13</v>
      </c>
      <c r="B68" s="17" t="s">
        <v>36</v>
      </c>
      <c r="C68" s="17" t="s">
        <v>60</v>
      </c>
      <c r="D68" s="17" t="s">
        <v>119</v>
      </c>
      <c r="E68" s="17" t="s">
        <v>62</v>
      </c>
      <c r="F68" s="18">
        <v>59015.53</v>
      </c>
      <c r="G68" s="17" t="s">
        <v>122</v>
      </c>
    </row>
    <row r="69" spans="1:7" ht="27.75" customHeight="1" x14ac:dyDescent="0.25">
      <c r="A69" s="17" t="s">
        <v>13</v>
      </c>
      <c r="B69" s="17" t="s">
        <v>81</v>
      </c>
      <c r="C69" s="17" t="s">
        <v>60</v>
      </c>
      <c r="D69" s="17" t="s">
        <v>123</v>
      </c>
      <c r="E69" s="17" t="s">
        <v>62</v>
      </c>
      <c r="F69" s="18">
        <v>75946.23</v>
      </c>
      <c r="G69" s="17" t="s">
        <v>83</v>
      </c>
    </row>
    <row r="70" spans="1:7" ht="27.75" customHeight="1" x14ac:dyDescent="0.25">
      <c r="A70" s="17" t="s">
        <v>13</v>
      </c>
      <c r="B70" s="17" t="s">
        <v>81</v>
      </c>
      <c r="C70" s="17" t="s">
        <v>60</v>
      </c>
      <c r="D70" s="17" t="s">
        <v>124</v>
      </c>
      <c r="E70" s="17" t="s">
        <v>62</v>
      </c>
      <c r="F70" s="18">
        <v>76002.31</v>
      </c>
      <c r="G70" s="17" t="s">
        <v>83</v>
      </c>
    </row>
    <row r="71" spans="1:7" ht="13.5" customHeight="1" x14ac:dyDescent="0.25">
      <c r="A71" s="19"/>
      <c r="B71" s="2" t="s">
        <v>125</v>
      </c>
      <c r="C71" s="2"/>
      <c r="D71" s="19" t="s">
        <v>126</v>
      </c>
      <c r="E71" s="19"/>
      <c r="F71" s="19"/>
      <c r="G71" s="19" t="s">
        <v>127</v>
      </c>
    </row>
    <row r="72" spans="1:7" ht="210" customHeight="1" x14ac:dyDescent="0.25">
      <c r="A72" s="17" t="s">
        <v>15</v>
      </c>
      <c r="B72" s="17" t="s">
        <v>128</v>
      </c>
      <c r="C72" s="17" t="s">
        <v>60</v>
      </c>
      <c r="D72" s="17" t="s">
        <v>61</v>
      </c>
      <c r="E72" s="17" t="s">
        <v>62</v>
      </c>
      <c r="F72" s="18">
        <v>136134.72</v>
      </c>
      <c r="G72" s="17" t="s">
        <v>129</v>
      </c>
    </row>
    <row r="73" spans="1:7" ht="27.75" customHeight="1" x14ac:dyDescent="0.25">
      <c r="A73" s="17" t="s">
        <v>15</v>
      </c>
      <c r="B73" s="17" t="s">
        <v>128</v>
      </c>
      <c r="C73" s="17" t="s">
        <v>60</v>
      </c>
      <c r="D73" s="17" t="s">
        <v>89</v>
      </c>
      <c r="E73" s="17" t="s">
        <v>62</v>
      </c>
      <c r="F73" s="18">
        <v>877.14</v>
      </c>
      <c r="G73" s="17" t="s">
        <v>130</v>
      </c>
    </row>
    <row r="74" spans="1:7" ht="210" customHeight="1" x14ac:dyDescent="0.25">
      <c r="A74" s="17" t="s">
        <v>15</v>
      </c>
      <c r="B74" s="17" t="s">
        <v>128</v>
      </c>
      <c r="C74" s="17" t="s">
        <v>60</v>
      </c>
      <c r="D74" s="17" t="s">
        <v>92</v>
      </c>
      <c r="E74" s="17" t="s">
        <v>62</v>
      </c>
      <c r="F74" s="18">
        <v>141331.44</v>
      </c>
      <c r="G74" s="17" t="s">
        <v>131</v>
      </c>
    </row>
    <row r="75" spans="1:7" ht="27.75" customHeight="1" x14ac:dyDescent="0.25">
      <c r="A75" s="17" t="s">
        <v>15</v>
      </c>
      <c r="B75" s="17" t="s">
        <v>128</v>
      </c>
      <c r="C75" s="17" t="s">
        <v>60</v>
      </c>
      <c r="D75" s="17" t="s">
        <v>108</v>
      </c>
      <c r="E75" s="17" t="s">
        <v>62</v>
      </c>
      <c r="F75" s="18">
        <v>1131</v>
      </c>
      <c r="G75" s="17" t="s">
        <v>130</v>
      </c>
    </row>
    <row r="76" spans="1:7" ht="210" customHeight="1" x14ac:dyDescent="0.25">
      <c r="A76" s="17" t="s">
        <v>15</v>
      </c>
      <c r="B76" s="17" t="s">
        <v>128</v>
      </c>
      <c r="C76" s="17" t="s">
        <v>60</v>
      </c>
      <c r="D76" s="17" t="s">
        <v>109</v>
      </c>
      <c r="E76" s="17" t="s">
        <v>62</v>
      </c>
      <c r="F76" s="18">
        <v>131107.39000000001</v>
      </c>
      <c r="G76" s="17" t="s">
        <v>132</v>
      </c>
    </row>
    <row r="77" spans="1:7" ht="210" customHeight="1" x14ac:dyDescent="0.25">
      <c r="A77" s="17" t="s">
        <v>15</v>
      </c>
      <c r="B77" s="17" t="s">
        <v>128</v>
      </c>
      <c r="C77" s="17" t="s">
        <v>60</v>
      </c>
      <c r="D77" s="17" t="s">
        <v>114</v>
      </c>
      <c r="E77" s="17" t="s">
        <v>62</v>
      </c>
      <c r="F77" s="18">
        <v>11262.75</v>
      </c>
      <c r="G77" s="17" t="s">
        <v>133</v>
      </c>
    </row>
    <row r="78" spans="1:7" ht="27.75" customHeight="1" x14ac:dyDescent="0.25">
      <c r="A78" s="17" t="s">
        <v>15</v>
      </c>
      <c r="B78" s="17" t="s">
        <v>128</v>
      </c>
      <c r="C78" s="17" t="s">
        <v>60</v>
      </c>
      <c r="D78" s="17" t="s">
        <v>124</v>
      </c>
      <c r="E78" s="17" t="s">
        <v>62</v>
      </c>
      <c r="F78" s="18">
        <v>841.73</v>
      </c>
      <c r="G78" s="17" t="s">
        <v>130</v>
      </c>
    </row>
    <row r="79" spans="1:7" ht="13.5" customHeight="1" x14ac:dyDescent="0.25">
      <c r="A79" s="19"/>
      <c r="B79" s="2" t="s">
        <v>134</v>
      </c>
      <c r="C79" s="2"/>
      <c r="D79" s="19" t="s">
        <v>126</v>
      </c>
      <c r="E79" s="19"/>
      <c r="F79" s="19"/>
      <c r="G79" s="19" t="s">
        <v>127</v>
      </c>
    </row>
    <row r="80" spans="1:7" ht="223.5" customHeight="1" x14ac:dyDescent="0.25">
      <c r="A80" s="17" t="s">
        <v>16</v>
      </c>
      <c r="B80" s="17" t="s">
        <v>135</v>
      </c>
      <c r="C80" s="17" t="s">
        <v>60</v>
      </c>
      <c r="D80" s="17" t="s">
        <v>61</v>
      </c>
      <c r="E80" s="17" t="s">
        <v>62</v>
      </c>
      <c r="F80" s="18">
        <v>112859.26</v>
      </c>
      <c r="G80" s="17" t="s">
        <v>136</v>
      </c>
    </row>
    <row r="81" spans="1:7" ht="42" customHeight="1" x14ac:dyDescent="0.25">
      <c r="A81" s="17" t="s">
        <v>16</v>
      </c>
      <c r="B81" s="17" t="s">
        <v>135</v>
      </c>
      <c r="C81" s="17" t="s">
        <v>60</v>
      </c>
      <c r="D81" s="17" t="s">
        <v>61</v>
      </c>
      <c r="E81" s="17" t="s">
        <v>62</v>
      </c>
      <c r="F81" s="18">
        <v>110.14</v>
      </c>
      <c r="G81" s="17" t="s">
        <v>137</v>
      </c>
    </row>
    <row r="82" spans="1:7" ht="223.5" customHeight="1" x14ac:dyDescent="0.25">
      <c r="A82" s="17" t="s">
        <v>16</v>
      </c>
      <c r="B82" s="17" t="s">
        <v>135</v>
      </c>
      <c r="C82" s="17" t="s">
        <v>60</v>
      </c>
      <c r="D82" s="17" t="s">
        <v>138</v>
      </c>
      <c r="E82" s="17" t="s">
        <v>62</v>
      </c>
      <c r="F82" s="18">
        <v>1701.63</v>
      </c>
      <c r="G82" s="17" t="s">
        <v>139</v>
      </c>
    </row>
    <row r="83" spans="1:7" ht="223.5" customHeight="1" x14ac:dyDescent="0.25">
      <c r="A83" s="17" t="s">
        <v>16</v>
      </c>
      <c r="B83" s="17" t="s">
        <v>135</v>
      </c>
      <c r="C83" s="17" t="s">
        <v>60</v>
      </c>
      <c r="D83" s="17" t="s">
        <v>138</v>
      </c>
      <c r="E83" s="17" t="s">
        <v>62</v>
      </c>
      <c r="F83" s="18">
        <v>633.44000000000005</v>
      </c>
      <c r="G83" s="17" t="s">
        <v>140</v>
      </c>
    </row>
    <row r="84" spans="1:7" ht="223.5" customHeight="1" x14ac:dyDescent="0.25">
      <c r="A84" s="17" t="s">
        <v>16</v>
      </c>
      <c r="B84" s="17" t="s">
        <v>135</v>
      </c>
      <c r="C84" s="17" t="s">
        <v>60</v>
      </c>
      <c r="D84" s="17" t="s">
        <v>138</v>
      </c>
      <c r="E84" s="17" t="s">
        <v>62</v>
      </c>
      <c r="F84" s="18">
        <v>24014.3</v>
      </c>
      <c r="G84" s="17" t="s">
        <v>141</v>
      </c>
    </row>
    <row r="85" spans="1:7" ht="223.5" customHeight="1" x14ac:dyDescent="0.25">
      <c r="A85" s="17" t="s">
        <v>16</v>
      </c>
      <c r="B85" s="17" t="s">
        <v>135</v>
      </c>
      <c r="C85" s="17" t="s">
        <v>60</v>
      </c>
      <c r="D85" s="17" t="s">
        <v>138</v>
      </c>
      <c r="E85" s="17" t="s">
        <v>62</v>
      </c>
      <c r="F85" s="18">
        <v>6053.27</v>
      </c>
      <c r="G85" s="17" t="s">
        <v>142</v>
      </c>
    </row>
    <row r="86" spans="1:7" ht="27.75" customHeight="1" x14ac:dyDescent="0.25">
      <c r="A86" s="17" t="s">
        <v>16</v>
      </c>
      <c r="B86" s="17" t="s">
        <v>135</v>
      </c>
      <c r="C86" s="17" t="s">
        <v>60</v>
      </c>
      <c r="D86" s="17" t="s">
        <v>89</v>
      </c>
      <c r="E86" s="17" t="s">
        <v>62</v>
      </c>
      <c r="F86" s="18">
        <v>1404.27</v>
      </c>
      <c r="G86" s="17" t="s">
        <v>130</v>
      </c>
    </row>
    <row r="87" spans="1:7" ht="223.5" customHeight="1" x14ac:dyDescent="0.25">
      <c r="A87" s="17" t="s">
        <v>16</v>
      </c>
      <c r="B87" s="17" t="s">
        <v>135</v>
      </c>
      <c r="C87" s="17" t="s">
        <v>60</v>
      </c>
      <c r="D87" s="17" t="s">
        <v>92</v>
      </c>
      <c r="E87" s="17" t="s">
        <v>62</v>
      </c>
      <c r="F87" s="18">
        <v>88816.09</v>
      </c>
      <c r="G87" s="17" t="s">
        <v>143</v>
      </c>
    </row>
    <row r="88" spans="1:7" ht="42" customHeight="1" x14ac:dyDescent="0.25">
      <c r="A88" s="17" t="s">
        <v>16</v>
      </c>
      <c r="B88" s="17" t="s">
        <v>135</v>
      </c>
      <c r="C88" s="17" t="s">
        <v>60</v>
      </c>
      <c r="D88" s="17" t="s">
        <v>92</v>
      </c>
      <c r="E88" s="17" t="s">
        <v>62</v>
      </c>
      <c r="F88" s="18">
        <v>228.26</v>
      </c>
      <c r="G88" s="17" t="s">
        <v>137</v>
      </c>
    </row>
    <row r="89" spans="1:7" ht="27.75" customHeight="1" x14ac:dyDescent="0.25">
      <c r="A89" s="17" t="s">
        <v>16</v>
      </c>
      <c r="B89" s="17" t="s">
        <v>135</v>
      </c>
      <c r="C89" s="17" t="s">
        <v>60</v>
      </c>
      <c r="D89" s="17" t="s">
        <v>108</v>
      </c>
      <c r="E89" s="17" t="s">
        <v>62</v>
      </c>
      <c r="F89" s="18">
        <v>1828.02</v>
      </c>
      <c r="G89" s="17" t="s">
        <v>130</v>
      </c>
    </row>
    <row r="90" spans="1:7" ht="223.5" customHeight="1" x14ac:dyDescent="0.25">
      <c r="A90" s="17" t="s">
        <v>16</v>
      </c>
      <c r="B90" s="17" t="s">
        <v>135</v>
      </c>
      <c r="C90" s="17" t="s">
        <v>60</v>
      </c>
      <c r="D90" s="17" t="s">
        <v>109</v>
      </c>
      <c r="E90" s="17" t="s">
        <v>62</v>
      </c>
      <c r="F90" s="18">
        <v>120370.63</v>
      </c>
      <c r="G90" s="17" t="s">
        <v>144</v>
      </c>
    </row>
    <row r="91" spans="1:7" ht="42" customHeight="1" x14ac:dyDescent="0.25">
      <c r="A91" s="17" t="s">
        <v>16</v>
      </c>
      <c r="B91" s="17" t="s">
        <v>135</v>
      </c>
      <c r="C91" s="17" t="s">
        <v>60</v>
      </c>
      <c r="D91" s="17" t="s">
        <v>109</v>
      </c>
      <c r="E91" s="17" t="s">
        <v>62</v>
      </c>
      <c r="F91" s="18">
        <v>175.56</v>
      </c>
      <c r="G91" s="17" t="s">
        <v>137</v>
      </c>
    </row>
    <row r="92" spans="1:7" ht="223.5" customHeight="1" x14ac:dyDescent="0.25">
      <c r="A92" s="17" t="s">
        <v>16</v>
      </c>
      <c r="B92" s="17" t="s">
        <v>135</v>
      </c>
      <c r="C92" s="17" t="s">
        <v>60</v>
      </c>
      <c r="D92" s="17" t="s">
        <v>116</v>
      </c>
      <c r="E92" s="17" t="s">
        <v>62</v>
      </c>
      <c r="F92" s="18">
        <v>1033.27</v>
      </c>
      <c r="G92" s="17" t="s">
        <v>145</v>
      </c>
    </row>
    <row r="93" spans="1:7" ht="223.5" customHeight="1" x14ac:dyDescent="0.25">
      <c r="A93" s="17" t="s">
        <v>16</v>
      </c>
      <c r="B93" s="17" t="s">
        <v>135</v>
      </c>
      <c r="C93" s="17" t="s">
        <v>60</v>
      </c>
      <c r="D93" s="17" t="s">
        <v>116</v>
      </c>
      <c r="E93" s="17" t="s">
        <v>62</v>
      </c>
      <c r="F93" s="18">
        <v>696.73</v>
      </c>
      <c r="G93" s="17" t="s">
        <v>146</v>
      </c>
    </row>
    <row r="94" spans="1:7" ht="223.5" customHeight="1" x14ac:dyDescent="0.25">
      <c r="A94" s="17" t="s">
        <v>16</v>
      </c>
      <c r="B94" s="17" t="s">
        <v>135</v>
      </c>
      <c r="C94" s="17" t="s">
        <v>60</v>
      </c>
      <c r="D94" s="17" t="s">
        <v>116</v>
      </c>
      <c r="E94" s="17" t="s">
        <v>62</v>
      </c>
      <c r="F94" s="18">
        <v>4994.63</v>
      </c>
      <c r="G94" s="17" t="s">
        <v>147</v>
      </c>
    </row>
    <row r="95" spans="1:7" ht="27.75" customHeight="1" x14ac:dyDescent="0.25">
      <c r="A95" s="17" t="s">
        <v>16</v>
      </c>
      <c r="B95" s="17" t="s">
        <v>135</v>
      </c>
      <c r="C95" s="17" t="s">
        <v>60</v>
      </c>
      <c r="D95" s="17" t="s">
        <v>124</v>
      </c>
      <c r="E95" s="17" t="s">
        <v>62</v>
      </c>
      <c r="F95" s="18">
        <v>1435.67</v>
      </c>
      <c r="G95" s="17" t="s">
        <v>130</v>
      </c>
    </row>
    <row r="96" spans="1:7" ht="13.5" customHeight="1" x14ac:dyDescent="0.25">
      <c r="A96" s="19"/>
      <c r="B96" s="2" t="s">
        <v>148</v>
      </c>
      <c r="C96" s="2"/>
      <c r="D96" s="19" t="s">
        <v>126</v>
      </c>
      <c r="E96" s="19"/>
      <c r="F96" s="19"/>
      <c r="G96" s="19" t="s">
        <v>127</v>
      </c>
    </row>
    <row r="97" spans="1:7" ht="223.5" customHeight="1" x14ac:dyDescent="0.25">
      <c r="A97" s="17" t="s">
        <v>17</v>
      </c>
      <c r="B97" s="17" t="s">
        <v>149</v>
      </c>
      <c r="C97" s="17" t="s">
        <v>60</v>
      </c>
      <c r="D97" s="17" t="s">
        <v>61</v>
      </c>
      <c r="E97" s="17" t="s">
        <v>62</v>
      </c>
      <c r="F97" s="18">
        <v>31330.35</v>
      </c>
      <c r="G97" s="17" t="s">
        <v>150</v>
      </c>
    </row>
    <row r="98" spans="1:7" ht="42" customHeight="1" x14ac:dyDescent="0.25">
      <c r="A98" s="17" t="s">
        <v>17</v>
      </c>
      <c r="B98" s="17" t="s">
        <v>149</v>
      </c>
      <c r="C98" s="17" t="s">
        <v>60</v>
      </c>
      <c r="D98" s="17" t="s">
        <v>61</v>
      </c>
      <c r="E98" s="17" t="s">
        <v>62</v>
      </c>
      <c r="F98" s="18">
        <v>351.2</v>
      </c>
      <c r="G98" s="17" t="s">
        <v>151</v>
      </c>
    </row>
    <row r="99" spans="1:7" ht="223.5" customHeight="1" x14ac:dyDescent="0.25">
      <c r="A99" s="17" t="s">
        <v>17</v>
      </c>
      <c r="B99" s="17" t="s">
        <v>149</v>
      </c>
      <c r="C99" s="17" t="s">
        <v>60</v>
      </c>
      <c r="D99" s="17" t="s">
        <v>76</v>
      </c>
      <c r="E99" s="17" t="s">
        <v>62</v>
      </c>
      <c r="F99" s="18">
        <v>637.33000000000004</v>
      </c>
      <c r="G99" s="17" t="s">
        <v>152</v>
      </c>
    </row>
    <row r="100" spans="1:7" ht="223.5" customHeight="1" x14ac:dyDescent="0.25">
      <c r="A100" s="17" t="s">
        <v>17</v>
      </c>
      <c r="B100" s="17" t="s">
        <v>149</v>
      </c>
      <c r="C100" s="17" t="s">
        <v>60</v>
      </c>
      <c r="D100" s="17" t="s">
        <v>76</v>
      </c>
      <c r="E100" s="17" t="s">
        <v>62</v>
      </c>
      <c r="F100" s="18">
        <v>639.37</v>
      </c>
      <c r="G100" s="17" t="s">
        <v>153</v>
      </c>
    </row>
    <row r="101" spans="1:7" ht="27.75" customHeight="1" x14ac:dyDescent="0.25">
      <c r="A101" s="17" t="s">
        <v>17</v>
      </c>
      <c r="B101" s="17" t="s">
        <v>149</v>
      </c>
      <c r="C101" s="17" t="s">
        <v>60</v>
      </c>
      <c r="D101" s="17" t="s">
        <v>89</v>
      </c>
      <c r="E101" s="17" t="s">
        <v>62</v>
      </c>
      <c r="F101" s="18">
        <v>5010.07</v>
      </c>
      <c r="G101" s="17" t="s">
        <v>130</v>
      </c>
    </row>
    <row r="102" spans="1:7" ht="223.5" customHeight="1" x14ac:dyDescent="0.25">
      <c r="A102" s="17" t="s">
        <v>17</v>
      </c>
      <c r="B102" s="17" t="s">
        <v>149</v>
      </c>
      <c r="C102" s="17" t="s">
        <v>60</v>
      </c>
      <c r="D102" s="17" t="s">
        <v>92</v>
      </c>
      <c r="E102" s="17" t="s">
        <v>62</v>
      </c>
      <c r="F102" s="18">
        <v>37638.879999999997</v>
      </c>
      <c r="G102" s="17" t="s">
        <v>154</v>
      </c>
    </row>
    <row r="103" spans="1:7" ht="42" customHeight="1" x14ac:dyDescent="0.25">
      <c r="A103" s="17" t="s">
        <v>17</v>
      </c>
      <c r="B103" s="17" t="s">
        <v>149</v>
      </c>
      <c r="C103" s="17" t="s">
        <v>60</v>
      </c>
      <c r="D103" s="17" t="s">
        <v>92</v>
      </c>
      <c r="E103" s="17" t="s">
        <v>62</v>
      </c>
      <c r="F103" s="18">
        <v>446.01</v>
      </c>
      <c r="G103" s="17" t="s">
        <v>151</v>
      </c>
    </row>
    <row r="104" spans="1:7" ht="27.75" customHeight="1" x14ac:dyDescent="0.25">
      <c r="A104" s="17" t="s">
        <v>17</v>
      </c>
      <c r="B104" s="17" t="s">
        <v>149</v>
      </c>
      <c r="C104" s="17" t="s">
        <v>60</v>
      </c>
      <c r="D104" s="17" t="s">
        <v>108</v>
      </c>
      <c r="E104" s="17" t="s">
        <v>62</v>
      </c>
      <c r="F104" s="18">
        <v>3851.1</v>
      </c>
      <c r="G104" s="17" t="s">
        <v>130</v>
      </c>
    </row>
    <row r="105" spans="1:7" ht="42" customHeight="1" x14ac:dyDescent="0.25">
      <c r="A105" s="17" t="s">
        <v>17</v>
      </c>
      <c r="B105" s="17" t="s">
        <v>149</v>
      </c>
      <c r="C105" s="17" t="s">
        <v>60</v>
      </c>
      <c r="D105" s="17" t="s">
        <v>109</v>
      </c>
      <c r="E105" s="17" t="s">
        <v>62</v>
      </c>
      <c r="F105" s="18">
        <v>514.92999999999995</v>
      </c>
      <c r="G105" s="17" t="s">
        <v>151</v>
      </c>
    </row>
    <row r="106" spans="1:7" ht="223.5" customHeight="1" x14ac:dyDescent="0.25">
      <c r="A106" s="17" t="s">
        <v>17</v>
      </c>
      <c r="B106" s="17" t="s">
        <v>149</v>
      </c>
      <c r="C106" s="17" t="s">
        <v>60</v>
      </c>
      <c r="D106" s="17" t="s">
        <v>109</v>
      </c>
      <c r="E106" s="17" t="s">
        <v>62</v>
      </c>
      <c r="F106" s="18">
        <v>30957.13</v>
      </c>
      <c r="G106" s="17" t="s">
        <v>155</v>
      </c>
    </row>
    <row r="107" spans="1:7" ht="27.75" customHeight="1" x14ac:dyDescent="0.25">
      <c r="A107" s="17" t="s">
        <v>17</v>
      </c>
      <c r="B107" s="17" t="s">
        <v>149</v>
      </c>
      <c r="C107" s="17" t="s">
        <v>60</v>
      </c>
      <c r="D107" s="17" t="s">
        <v>124</v>
      </c>
      <c r="E107" s="17" t="s">
        <v>62</v>
      </c>
      <c r="F107" s="18">
        <v>4328.93</v>
      </c>
      <c r="G107" s="17" t="s">
        <v>130</v>
      </c>
    </row>
    <row r="108" spans="1:7" ht="13.5" customHeight="1" x14ac:dyDescent="0.25">
      <c r="A108" s="19"/>
      <c r="B108" s="2" t="s">
        <v>156</v>
      </c>
      <c r="C108" s="2"/>
      <c r="D108" s="19" t="s">
        <v>126</v>
      </c>
      <c r="E108" s="19"/>
      <c r="F108" s="19"/>
      <c r="G108" s="19" t="s">
        <v>127</v>
      </c>
    </row>
    <row r="109" spans="1:7" ht="237.75" customHeight="1" x14ac:dyDescent="0.25">
      <c r="A109" s="17" t="s">
        <v>18</v>
      </c>
      <c r="B109" s="17" t="s">
        <v>157</v>
      </c>
      <c r="C109" s="17" t="s">
        <v>60</v>
      </c>
      <c r="D109" s="17" t="s">
        <v>61</v>
      </c>
      <c r="E109" s="17" t="s">
        <v>62</v>
      </c>
      <c r="F109" s="18">
        <v>57001.66</v>
      </c>
      <c r="G109" s="17" t="s">
        <v>158</v>
      </c>
    </row>
    <row r="110" spans="1:7" ht="237.75" customHeight="1" x14ac:dyDescent="0.25">
      <c r="A110" s="17" t="s">
        <v>18</v>
      </c>
      <c r="B110" s="17" t="s">
        <v>157</v>
      </c>
      <c r="C110" s="17" t="s">
        <v>60</v>
      </c>
      <c r="D110" s="17" t="s">
        <v>76</v>
      </c>
      <c r="E110" s="17" t="s">
        <v>62</v>
      </c>
      <c r="F110" s="18">
        <v>373.73</v>
      </c>
      <c r="G110" s="17" t="s">
        <v>159</v>
      </c>
    </row>
    <row r="111" spans="1:7" ht="27.75" customHeight="1" x14ac:dyDescent="0.25">
      <c r="A111" s="17" t="s">
        <v>18</v>
      </c>
      <c r="B111" s="17" t="s">
        <v>157</v>
      </c>
      <c r="C111" s="17" t="s">
        <v>60</v>
      </c>
      <c r="D111" s="17" t="s">
        <v>89</v>
      </c>
      <c r="E111" s="17" t="s">
        <v>62</v>
      </c>
      <c r="F111" s="18">
        <v>1230</v>
      </c>
      <c r="G111" s="17" t="s">
        <v>130</v>
      </c>
    </row>
    <row r="112" spans="1:7" ht="237.75" customHeight="1" x14ac:dyDescent="0.25">
      <c r="A112" s="17" t="s">
        <v>18</v>
      </c>
      <c r="B112" s="17" t="s">
        <v>157</v>
      </c>
      <c r="C112" s="17" t="s">
        <v>60</v>
      </c>
      <c r="D112" s="17" t="s">
        <v>92</v>
      </c>
      <c r="E112" s="17" t="s">
        <v>62</v>
      </c>
      <c r="F112" s="18">
        <v>60718.11</v>
      </c>
      <c r="G112" s="17" t="s">
        <v>160</v>
      </c>
    </row>
    <row r="113" spans="1:7" ht="237.75" customHeight="1" x14ac:dyDescent="0.25">
      <c r="A113" s="17" t="s">
        <v>18</v>
      </c>
      <c r="B113" s="17" t="s">
        <v>157</v>
      </c>
      <c r="C113" s="17" t="s">
        <v>60</v>
      </c>
      <c r="D113" s="17" t="s">
        <v>161</v>
      </c>
      <c r="E113" s="17" t="s">
        <v>62</v>
      </c>
      <c r="F113" s="18">
        <v>1359.04</v>
      </c>
      <c r="G113" s="17" t="s">
        <v>162</v>
      </c>
    </row>
    <row r="114" spans="1:7" ht="27.75" customHeight="1" x14ac:dyDescent="0.25">
      <c r="A114" s="17" t="s">
        <v>18</v>
      </c>
      <c r="B114" s="17" t="s">
        <v>157</v>
      </c>
      <c r="C114" s="17" t="s">
        <v>60</v>
      </c>
      <c r="D114" s="17" t="s">
        <v>108</v>
      </c>
      <c r="E114" s="17" t="s">
        <v>62</v>
      </c>
      <c r="F114" s="18">
        <v>1492.76</v>
      </c>
      <c r="G114" s="17" t="s">
        <v>130</v>
      </c>
    </row>
    <row r="115" spans="1:7" ht="237.75" customHeight="1" x14ac:dyDescent="0.25">
      <c r="A115" s="17" t="s">
        <v>18</v>
      </c>
      <c r="B115" s="17" t="s">
        <v>157</v>
      </c>
      <c r="C115" s="17" t="s">
        <v>60</v>
      </c>
      <c r="D115" s="17" t="s">
        <v>109</v>
      </c>
      <c r="E115" s="17" t="s">
        <v>62</v>
      </c>
      <c r="F115" s="18">
        <v>61171.43</v>
      </c>
      <c r="G115" s="17" t="s">
        <v>163</v>
      </c>
    </row>
    <row r="116" spans="1:7" ht="27.75" customHeight="1" x14ac:dyDescent="0.25">
      <c r="A116" s="17" t="s">
        <v>18</v>
      </c>
      <c r="B116" s="17" t="s">
        <v>157</v>
      </c>
      <c r="C116" s="17" t="s">
        <v>60</v>
      </c>
      <c r="D116" s="17" t="s">
        <v>124</v>
      </c>
      <c r="E116" s="17" t="s">
        <v>62</v>
      </c>
      <c r="F116" s="18">
        <v>1343.86</v>
      </c>
      <c r="G116" s="17" t="s">
        <v>130</v>
      </c>
    </row>
    <row r="117" spans="1:7" ht="13.5" customHeight="1" x14ac:dyDescent="0.25">
      <c r="A117" s="19"/>
      <c r="B117" s="2" t="s">
        <v>164</v>
      </c>
      <c r="C117" s="2"/>
      <c r="D117" s="19" t="s">
        <v>126</v>
      </c>
      <c r="E117" s="19"/>
      <c r="F117" s="19"/>
      <c r="G117" s="19" t="s">
        <v>127</v>
      </c>
    </row>
    <row r="118" spans="1:7" ht="42" customHeight="1" x14ac:dyDescent="0.25">
      <c r="A118" s="17" t="s">
        <v>19</v>
      </c>
      <c r="B118" s="17" t="s">
        <v>165</v>
      </c>
      <c r="C118" s="17" t="s">
        <v>60</v>
      </c>
      <c r="D118" s="17" t="s">
        <v>61</v>
      </c>
      <c r="E118" s="17" t="s">
        <v>62</v>
      </c>
      <c r="F118" s="18">
        <v>512.04</v>
      </c>
      <c r="G118" s="17" t="s">
        <v>166</v>
      </c>
    </row>
    <row r="119" spans="1:7" ht="223.5" customHeight="1" x14ac:dyDescent="0.25">
      <c r="A119" s="17" t="s">
        <v>19</v>
      </c>
      <c r="B119" s="17" t="s">
        <v>165</v>
      </c>
      <c r="C119" s="17" t="s">
        <v>60</v>
      </c>
      <c r="D119" s="17" t="s">
        <v>61</v>
      </c>
      <c r="E119" s="17" t="s">
        <v>62</v>
      </c>
      <c r="F119" s="18">
        <v>30772.25</v>
      </c>
      <c r="G119" s="17" t="s">
        <v>167</v>
      </c>
    </row>
    <row r="120" spans="1:7" ht="27.75" customHeight="1" x14ac:dyDescent="0.25">
      <c r="A120" s="17" t="s">
        <v>19</v>
      </c>
      <c r="B120" s="17" t="s">
        <v>165</v>
      </c>
      <c r="C120" s="17" t="s">
        <v>60</v>
      </c>
      <c r="D120" s="17" t="s">
        <v>89</v>
      </c>
      <c r="E120" s="17" t="s">
        <v>62</v>
      </c>
      <c r="F120" s="18">
        <v>1169.24</v>
      </c>
      <c r="G120" s="17" t="s">
        <v>130</v>
      </c>
    </row>
    <row r="121" spans="1:7" ht="223.5" customHeight="1" x14ac:dyDescent="0.25">
      <c r="A121" s="17" t="s">
        <v>19</v>
      </c>
      <c r="B121" s="17" t="s">
        <v>165</v>
      </c>
      <c r="C121" s="17" t="s">
        <v>60</v>
      </c>
      <c r="D121" s="17" t="s">
        <v>92</v>
      </c>
      <c r="E121" s="17" t="s">
        <v>62</v>
      </c>
      <c r="F121" s="18">
        <v>31882.91</v>
      </c>
      <c r="G121" s="17" t="s">
        <v>168</v>
      </c>
    </row>
    <row r="122" spans="1:7" ht="42" customHeight="1" x14ac:dyDescent="0.25">
      <c r="A122" s="17" t="s">
        <v>19</v>
      </c>
      <c r="B122" s="17" t="s">
        <v>165</v>
      </c>
      <c r="C122" s="17" t="s">
        <v>60</v>
      </c>
      <c r="D122" s="17" t="s">
        <v>92</v>
      </c>
      <c r="E122" s="17" t="s">
        <v>62</v>
      </c>
      <c r="F122" s="18">
        <v>540.89</v>
      </c>
      <c r="G122" s="17" t="s">
        <v>166</v>
      </c>
    </row>
    <row r="123" spans="1:7" ht="27.75" customHeight="1" x14ac:dyDescent="0.25">
      <c r="A123" s="17" t="s">
        <v>19</v>
      </c>
      <c r="B123" s="17" t="s">
        <v>165</v>
      </c>
      <c r="C123" s="17" t="s">
        <v>60</v>
      </c>
      <c r="D123" s="17" t="s">
        <v>108</v>
      </c>
      <c r="E123" s="17" t="s">
        <v>62</v>
      </c>
      <c r="F123" s="18">
        <v>1057.72</v>
      </c>
      <c r="G123" s="17" t="s">
        <v>130</v>
      </c>
    </row>
    <row r="124" spans="1:7" ht="223.5" customHeight="1" x14ac:dyDescent="0.25">
      <c r="A124" s="17" t="s">
        <v>19</v>
      </c>
      <c r="B124" s="17" t="s">
        <v>165</v>
      </c>
      <c r="C124" s="17" t="s">
        <v>60</v>
      </c>
      <c r="D124" s="17" t="s">
        <v>109</v>
      </c>
      <c r="E124" s="17" t="s">
        <v>62</v>
      </c>
      <c r="F124" s="18">
        <v>32339.96</v>
      </c>
      <c r="G124" s="17" t="s">
        <v>169</v>
      </c>
    </row>
    <row r="125" spans="1:7" ht="42" customHeight="1" x14ac:dyDescent="0.25">
      <c r="A125" s="17" t="s">
        <v>19</v>
      </c>
      <c r="B125" s="17" t="s">
        <v>165</v>
      </c>
      <c r="C125" s="17" t="s">
        <v>60</v>
      </c>
      <c r="D125" s="17" t="s">
        <v>109</v>
      </c>
      <c r="E125" s="17" t="s">
        <v>62</v>
      </c>
      <c r="F125" s="18">
        <v>545.91</v>
      </c>
      <c r="G125" s="17" t="s">
        <v>166</v>
      </c>
    </row>
    <row r="126" spans="1:7" ht="27.75" customHeight="1" x14ac:dyDescent="0.25">
      <c r="A126" s="17" t="s">
        <v>19</v>
      </c>
      <c r="B126" s="17" t="s">
        <v>165</v>
      </c>
      <c r="C126" s="17" t="s">
        <v>60</v>
      </c>
      <c r="D126" s="17" t="s">
        <v>124</v>
      </c>
      <c r="E126" s="17" t="s">
        <v>62</v>
      </c>
      <c r="F126" s="18">
        <v>1066.1400000000001</v>
      </c>
      <c r="G126" s="17" t="s">
        <v>130</v>
      </c>
    </row>
    <row r="127" spans="1:7" ht="13.5" customHeight="1" x14ac:dyDescent="0.25">
      <c r="A127" s="19"/>
      <c r="B127" s="2" t="s">
        <v>170</v>
      </c>
      <c r="C127" s="2"/>
      <c r="D127" s="19" t="s">
        <v>126</v>
      </c>
      <c r="E127" s="19"/>
      <c r="F127" s="19"/>
      <c r="G127" s="19" t="s">
        <v>127</v>
      </c>
    </row>
    <row r="128" spans="1:7" ht="307.5" customHeight="1" x14ac:dyDescent="0.25">
      <c r="A128" s="17" t="s">
        <v>20</v>
      </c>
      <c r="B128" s="17" t="s">
        <v>171</v>
      </c>
      <c r="C128" s="17" t="s">
        <v>60</v>
      </c>
      <c r="D128" s="17" t="s">
        <v>61</v>
      </c>
      <c r="E128" s="17" t="s">
        <v>62</v>
      </c>
      <c r="F128" s="18">
        <v>56889</v>
      </c>
      <c r="G128" s="17" t="s">
        <v>172</v>
      </c>
    </row>
    <row r="129" spans="1:7" ht="307.5" customHeight="1" x14ac:dyDescent="0.25">
      <c r="A129" s="17" t="s">
        <v>20</v>
      </c>
      <c r="B129" s="17" t="s">
        <v>171</v>
      </c>
      <c r="C129" s="17" t="s">
        <v>60</v>
      </c>
      <c r="D129" s="17" t="s">
        <v>92</v>
      </c>
      <c r="E129" s="17" t="s">
        <v>62</v>
      </c>
      <c r="F129" s="18">
        <v>58893.87</v>
      </c>
      <c r="G129" s="17" t="s">
        <v>173</v>
      </c>
    </row>
    <row r="130" spans="1:7" ht="307.5" customHeight="1" x14ac:dyDescent="0.25">
      <c r="A130" s="17" t="s">
        <v>20</v>
      </c>
      <c r="B130" s="17" t="s">
        <v>171</v>
      </c>
      <c r="C130" s="17" t="s">
        <v>60</v>
      </c>
      <c r="D130" s="17" t="s">
        <v>109</v>
      </c>
      <c r="E130" s="17" t="s">
        <v>62</v>
      </c>
      <c r="F130" s="18">
        <v>59035.85</v>
      </c>
      <c r="G130" s="17" t="s">
        <v>174</v>
      </c>
    </row>
    <row r="131" spans="1:7" ht="13.5" customHeight="1" x14ac:dyDescent="0.25">
      <c r="A131" s="19"/>
      <c r="B131" s="2" t="s">
        <v>175</v>
      </c>
      <c r="C131" s="2"/>
      <c r="D131" s="19" t="s">
        <v>126</v>
      </c>
      <c r="E131" s="19"/>
      <c r="F131" s="19"/>
      <c r="G131" s="19" t="s">
        <v>127</v>
      </c>
    </row>
    <row r="132" spans="1:7" ht="349.5" customHeight="1" x14ac:dyDescent="0.25">
      <c r="A132" s="17" t="s">
        <v>21</v>
      </c>
      <c r="B132" s="17" t="s">
        <v>176</v>
      </c>
      <c r="C132" s="17" t="s">
        <v>60</v>
      </c>
      <c r="D132" s="17" t="s">
        <v>61</v>
      </c>
      <c r="E132" s="17" t="s">
        <v>62</v>
      </c>
      <c r="F132" s="18">
        <v>597661.68999999994</v>
      </c>
      <c r="G132" s="17" t="s">
        <v>177</v>
      </c>
    </row>
    <row r="133" spans="1:7" ht="349.5" customHeight="1" x14ac:dyDescent="0.25">
      <c r="A133" s="17" t="s">
        <v>21</v>
      </c>
      <c r="B133" s="17" t="s">
        <v>176</v>
      </c>
      <c r="C133" s="17" t="s">
        <v>60</v>
      </c>
      <c r="D133" s="17" t="s">
        <v>92</v>
      </c>
      <c r="E133" s="17" t="s">
        <v>62</v>
      </c>
      <c r="F133" s="18">
        <v>622004.34</v>
      </c>
      <c r="G133" s="17" t="s">
        <v>178</v>
      </c>
    </row>
    <row r="134" spans="1:7" ht="349.5" customHeight="1" x14ac:dyDescent="0.25">
      <c r="A134" s="17" t="s">
        <v>21</v>
      </c>
      <c r="B134" s="17" t="s">
        <v>176</v>
      </c>
      <c r="C134" s="17" t="s">
        <v>60</v>
      </c>
      <c r="D134" s="17" t="s">
        <v>109</v>
      </c>
      <c r="E134" s="17" t="s">
        <v>62</v>
      </c>
      <c r="F134" s="18">
        <v>625045.76000000001</v>
      </c>
      <c r="G134" s="17" t="s">
        <v>179</v>
      </c>
    </row>
    <row r="135" spans="1:7" ht="13.5" customHeight="1" x14ac:dyDescent="0.25">
      <c r="A135" s="19"/>
      <c r="B135" s="2" t="s">
        <v>180</v>
      </c>
      <c r="C135" s="2"/>
      <c r="D135" s="19" t="s">
        <v>126</v>
      </c>
      <c r="E135" s="19"/>
      <c r="F135" s="19"/>
      <c r="G135" s="19" t="s">
        <v>127</v>
      </c>
    </row>
    <row r="136" spans="1:7" ht="210" customHeight="1" x14ac:dyDescent="0.25">
      <c r="A136" s="17" t="s">
        <v>22</v>
      </c>
      <c r="B136" s="17" t="s">
        <v>181</v>
      </c>
      <c r="C136" s="17" t="s">
        <v>60</v>
      </c>
      <c r="D136" s="17" t="s">
        <v>61</v>
      </c>
      <c r="E136" s="17" t="s">
        <v>62</v>
      </c>
      <c r="F136" s="18">
        <v>30246.23</v>
      </c>
      <c r="G136" s="17" t="s">
        <v>182</v>
      </c>
    </row>
    <row r="137" spans="1:7" ht="27.75" customHeight="1" x14ac:dyDescent="0.25">
      <c r="A137" s="17" t="s">
        <v>22</v>
      </c>
      <c r="B137" s="17" t="s">
        <v>181</v>
      </c>
      <c r="C137" s="17" t="s">
        <v>60</v>
      </c>
      <c r="D137" s="17" t="s">
        <v>89</v>
      </c>
      <c r="E137" s="17" t="s">
        <v>62</v>
      </c>
      <c r="F137" s="18">
        <v>1472.7</v>
      </c>
      <c r="G137" s="17" t="s">
        <v>130</v>
      </c>
    </row>
    <row r="138" spans="1:7" ht="210" customHeight="1" x14ac:dyDescent="0.25">
      <c r="A138" s="17" t="s">
        <v>22</v>
      </c>
      <c r="B138" s="17" t="s">
        <v>181</v>
      </c>
      <c r="C138" s="17" t="s">
        <v>60</v>
      </c>
      <c r="D138" s="17" t="s">
        <v>92</v>
      </c>
      <c r="E138" s="17" t="s">
        <v>62</v>
      </c>
      <c r="F138" s="18">
        <v>31255.23</v>
      </c>
      <c r="G138" s="17" t="s">
        <v>183</v>
      </c>
    </row>
    <row r="139" spans="1:7" ht="27.75" customHeight="1" x14ac:dyDescent="0.25">
      <c r="A139" s="17" t="s">
        <v>22</v>
      </c>
      <c r="B139" s="17" t="s">
        <v>181</v>
      </c>
      <c r="C139" s="17" t="s">
        <v>60</v>
      </c>
      <c r="D139" s="17" t="s">
        <v>108</v>
      </c>
      <c r="E139" s="17" t="s">
        <v>62</v>
      </c>
      <c r="F139" s="18">
        <v>1535.38</v>
      </c>
      <c r="G139" s="17" t="s">
        <v>130</v>
      </c>
    </row>
    <row r="140" spans="1:7" ht="210" customHeight="1" x14ac:dyDescent="0.25">
      <c r="A140" s="17" t="s">
        <v>22</v>
      </c>
      <c r="B140" s="17" t="s">
        <v>181</v>
      </c>
      <c r="C140" s="17" t="s">
        <v>60</v>
      </c>
      <c r="D140" s="17" t="s">
        <v>109</v>
      </c>
      <c r="E140" s="17" t="s">
        <v>62</v>
      </c>
      <c r="F140" s="18">
        <v>31399.16</v>
      </c>
      <c r="G140" s="17" t="s">
        <v>184</v>
      </c>
    </row>
    <row r="141" spans="1:7" ht="27.75" customHeight="1" x14ac:dyDescent="0.25">
      <c r="A141" s="17" t="s">
        <v>22</v>
      </c>
      <c r="B141" s="17" t="s">
        <v>181</v>
      </c>
      <c r="C141" s="17" t="s">
        <v>60</v>
      </c>
      <c r="D141" s="17" t="s">
        <v>124</v>
      </c>
      <c r="E141" s="17" t="s">
        <v>62</v>
      </c>
      <c r="F141" s="18">
        <v>1554.5</v>
      </c>
      <c r="G141" s="17" t="s">
        <v>130</v>
      </c>
    </row>
    <row r="142" spans="1:7" ht="13.5" customHeight="1" x14ac:dyDescent="0.25">
      <c r="A142" s="19"/>
      <c r="B142" s="2" t="s">
        <v>185</v>
      </c>
      <c r="C142" s="2"/>
      <c r="D142" s="19" t="s">
        <v>126</v>
      </c>
      <c r="E142" s="19"/>
      <c r="F142" s="19"/>
      <c r="G142" s="19" t="s">
        <v>127</v>
      </c>
    </row>
    <row r="143" spans="1:7" ht="42" customHeight="1" x14ac:dyDescent="0.25">
      <c r="A143" s="17" t="s">
        <v>23</v>
      </c>
      <c r="B143" s="17" t="s">
        <v>186</v>
      </c>
      <c r="C143" s="17" t="s">
        <v>60</v>
      </c>
      <c r="D143" s="17" t="s">
        <v>61</v>
      </c>
      <c r="E143" s="17" t="s">
        <v>62</v>
      </c>
      <c r="F143" s="18">
        <v>103.83</v>
      </c>
      <c r="G143" s="17" t="s">
        <v>187</v>
      </c>
    </row>
    <row r="144" spans="1:7" ht="27.75" customHeight="1" x14ac:dyDescent="0.25">
      <c r="A144" s="17" t="s">
        <v>23</v>
      </c>
      <c r="B144" s="17" t="s">
        <v>186</v>
      </c>
      <c r="C144" s="17" t="s">
        <v>60</v>
      </c>
      <c r="D144" s="17" t="s">
        <v>89</v>
      </c>
      <c r="E144" s="17" t="s">
        <v>62</v>
      </c>
      <c r="F144" s="18">
        <v>4439.5600000000004</v>
      </c>
      <c r="G144" s="17" t="s">
        <v>130</v>
      </c>
    </row>
    <row r="145" spans="1:7" ht="42" customHeight="1" x14ac:dyDescent="0.25">
      <c r="A145" s="17" t="s">
        <v>23</v>
      </c>
      <c r="B145" s="17" t="s">
        <v>186</v>
      </c>
      <c r="C145" s="17" t="s">
        <v>60</v>
      </c>
      <c r="D145" s="17" t="s">
        <v>92</v>
      </c>
      <c r="E145" s="17" t="s">
        <v>62</v>
      </c>
      <c r="F145" s="18">
        <v>104.52</v>
      </c>
      <c r="G145" s="17" t="s">
        <v>187</v>
      </c>
    </row>
    <row r="146" spans="1:7" ht="27.75" customHeight="1" x14ac:dyDescent="0.25">
      <c r="A146" s="17" t="s">
        <v>23</v>
      </c>
      <c r="B146" s="17" t="s">
        <v>186</v>
      </c>
      <c r="C146" s="17" t="s">
        <v>60</v>
      </c>
      <c r="D146" s="17" t="s">
        <v>108</v>
      </c>
      <c r="E146" s="17" t="s">
        <v>62</v>
      </c>
      <c r="F146" s="18">
        <v>4396.3100000000004</v>
      </c>
      <c r="G146" s="17" t="s">
        <v>130</v>
      </c>
    </row>
    <row r="147" spans="1:7" ht="42" customHeight="1" x14ac:dyDescent="0.25">
      <c r="A147" s="17" t="s">
        <v>23</v>
      </c>
      <c r="B147" s="17" t="s">
        <v>186</v>
      </c>
      <c r="C147" s="17" t="s">
        <v>60</v>
      </c>
      <c r="D147" s="17" t="s">
        <v>109</v>
      </c>
      <c r="E147" s="17" t="s">
        <v>62</v>
      </c>
      <c r="F147" s="18">
        <v>108.91</v>
      </c>
      <c r="G147" s="17" t="s">
        <v>187</v>
      </c>
    </row>
    <row r="148" spans="1:7" ht="27.75" customHeight="1" x14ac:dyDescent="0.25">
      <c r="A148" s="17" t="s">
        <v>23</v>
      </c>
      <c r="B148" s="17" t="s">
        <v>186</v>
      </c>
      <c r="C148" s="17" t="s">
        <v>60</v>
      </c>
      <c r="D148" s="17" t="s">
        <v>124</v>
      </c>
      <c r="E148" s="17" t="s">
        <v>62</v>
      </c>
      <c r="F148" s="18">
        <v>4352.43</v>
      </c>
      <c r="G148" s="17" t="s">
        <v>130</v>
      </c>
    </row>
    <row r="149" spans="1:7" ht="13.5" customHeight="1" x14ac:dyDescent="0.25">
      <c r="A149" s="19"/>
      <c r="B149" s="2" t="s">
        <v>188</v>
      </c>
      <c r="C149" s="2"/>
      <c r="D149" s="19" t="s">
        <v>126</v>
      </c>
      <c r="E149" s="19"/>
      <c r="F149" s="19"/>
      <c r="G149" s="19" t="s">
        <v>127</v>
      </c>
    </row>
    <row r="150" spans="1:7" ht="42" customHeight="1" x14ac:dyDescent="0.25">
      <c r="A150" s="17" t="s">
        <v>24</v>
      </c>
      <c r="B150" s="17" t="s">
        <v>189</v>
      </c>
      <c r="C150" s="17" t="s">
        <v>60</v>
      </c>
      <c r="D150" s="17" t="s">
        <v>61</v>
      </c>
      <c r="E150" s="17" t="s">
        <v>62</v>
      </c>
      <c r="F150" s="18">
        <v>435.06</v>
      </c>
      <c r="G150" s="17" t="s">
        <v>190</v>
      </c>
    </row>
    <row r="151" spans="1:7" ht="42" customHeight="1" x14ac:dyDescent="0.25">
      <c r="A151" s="17" t="s">
        <v>24</v>
      </c>
      <c r="B151" s="17" t="s">
        <v>189</v>
      </c>
      <c r="C151" s="17" t="s">
        <v>60</v>
      </c>
      <c r="D151" s="17" t="s">
        <v>61</v>
      </c>
      <c r="E151" s="17" t="s">
        <v>62</v>
      </c>
      <c r="F151" s="18">
        <v>13154.61</v>
      </c>
      <c r="G151" s="17" t="s">
        <v>191</v>
      </c>
    </row>
    <row r="152" spans="1:7" ht="237.75" customHeight="1" x14ac:dyDescent="0.25">
      <c r="A152" s="17" t="s">
        <v>24</v>
      </c>
      <c r="B152" s="17" t="s">
        <v>189</v>
      </c>
      <c r="C152" s="17" t="s">
        <v>60</v>
      </c>
      <c r="D152" s="17" t="s">
        <v>61</v>
      </c>
      <c r="E152" s="17" t="s">
        <v>62</v>
      </c>
      <c r="F152" s="18">
        <v>145520.64000000001</v>
      </c>
      <c r="G152" s="17" t="s">
        <v>192</v>
      </c>
    </row>
    <row r="153" spans="1:7" ht="27.75" customHeight="1" x14ac:dyDescent="0.25">
      <c r="A153" s="17" t="s">
        <v>24</v>
      </c>
      <c r="B153" s="17" t="s">
        <v>193</v>
      </c>
      <c r="C153" s="17" t="s">
        <v>60</v>
      </c>
      <c r="D153" s="17" t="s">
        <v>89</v>
      </c>
      <c r="E153" s="17" t="s">
        <v>62</v>
      </c>
      <c r="F153" s="18">
        <v>42493.14</v>
      </c>
      <c r="G153" s="17" t="s">
        <v>83</v>
      </c>
    </row>
    <row r="154" spans="1:7" ht="27.75" customHeight="1" x14ac:dyDescent="0.25">
      <c r="A154" s="17" t="s">
        <v>24</v>
      </c>
      <c r="B154" s="17" t="s">
        <v>189</v>
      </c>
      <c r="C154" s="17" t="s">
        <v>60</v>
      </c>
      <c r="D154" s="17" t="s">
        <v>89</v>
      </c>
      <c r="E154" s="17" t="s">
        <v>62</v>
      </c>
      <c r="F154" s="18">
        <v>1844.59</v>
      </c>
      <c r="G154" s="17" t="s">
        <v>130</v>
      </c>
    </row>
    <row r="155" spans="1:7" ht="42" customHeight="1" x14ac:dyDescent="0.25">
      <c r="A155" s="17" t="s">
        <v>24</v>
      </c>
      <c r="B155" s="17" t="s">
        <v>189</v>
      </c>
      <c r="C155" s="17" t="s">
        <v>60</v>
      </c>
      <c r="D155" s="17" t="s">
        <v>92</v>
      </c>
      <c r="E155" s="17" t="s">
        <v>62</v>
      </c>
      <c r="F155" s="18">
        <v>278.77999999999997</v>
      </c>
      <c r="G155" s="17" t="s">
        <v>190</v>
      </c>
    </row>
    <row r="156" spans="1:7" ht="237.75" customHeight="1" x14ac:dyDescent="0.25">
      <c r="A156" s="17" t="s">
        <v>24</v>
      </c>
      <c r="B156" s="17" t="s">
        <v>189</v>
      </c>
      <c r="C156" s="17" t="s">
        <v>60</v>
      </c>
      <c r="D156" s="17" t="s">
        <v>92</v>
      </c>
      <c r="E156" s="17" t="s">
        <v>62</v>
      </c>
      <c r="F156" s="18">
        <v>152721.46</v>
      </c>
      <c r="G156" s="17" t="s">
        <v>194</v>
      </c>
    </row>
    <row r="157" spans="1:7" ht="42" customHeight="1" x14ac:dyDescent="0.25">
      <c r="A157" s="17" t="s">
        <v>24</v>
      </c>
      <c r="B157" s="17" t="s">
        <v>189</v>
      </c>
      <c r="C157" s="17" t="s">
        <v>60</v>
      </c>
      <c r="D157" s="17" t="s">
        <v>92</v>
      </c>
      <c r="E157" s="17" t="s">
        <v>62</v>
      </c>
      <c r="F157" s="18">
        <v>10748.13</v>
      </c>
      <c r="G157" s="17" t="s">
        <v>191</v>
      </c>
    </row>
    <row r="158" spans="1:7" ht="237.75" customHeight="1" x14ac:dyDescent="0.25">
      <c r="A158" s="17" t="s">
        <v>24</v>
      </c>
      <c r="B158" s="17" t="s">
        <v>189</v>
      </c>
      <c r="C158" s="17" t="s">
        <v>60</v>
      </c>
      <c r="D158" s="17" t="s">
        <v>195</v>
      </c>
      <c r="E158" s="17" t="s">
        <v>62</v>
      </c>
      <c r="F158" s="18">
        <v>637.6</v>
      </c>
      <c r="G158" s="17" t="s">
        <v>196</v>
      </c>
    </row>
    <row r="159" spans="1:7" ht="237.75" customHeight="1" x14ac:dyDescent="0.25">
      <c r="A159" s="17" t="s">
        <v>24</v>
      </c>
      <c r="B159" s="17" t="s">
        <v>189</v>
      </c>
      <c r="C159" s="17" t="s">
        <v>60</v>
      </c>
      <c r="D159" s="17" t="s">
        <v>195</v>
      </c>
      <c r="E159" s="17" t="s">
        <v>62</v>
      </c>
      <c r="F159" s="18">
        <v>373.07</v>
      </c>
      <c r="G159" s="17" t="s">
        <v>197</v>
      </c>
    </row>
    <row r="160" spans="1:7" ht="27.75" customHeight="1" x14ac:dyDescent="0.25">
      <c r="A160" s="17" t="s">
        <v>24</v>
      </c>
      <c r="B160" s="17" t="s">
        <v>189</v>
      </c>
      <c r="C160" s="17" t="s">
        <v>60</v>
      </c>
      <c r="D160" s="17" t="s">
        <v>108</v>
      </c>
      <c r="E160" s="17" t="s">
        <v>62</v>
      </c>
      <c r="F160" s="18">
        <v>941.43</v>
      </c>
      <c r="G160" s="17" t="s">
        <v>130</v>
      </c>
    </row>
    <row r="161" spans="1:7" ht="27.75" customHeight="1" x14ac:dyDescent="0.25">
      <c r="A161" s="17" t="s">
        <v>24</v>
      </c>
      <c r="B161" s="17" t="s">
        <v>193</v>
      </c>
      <c r="C161" s="17" t="s">
        <v>60</v>
      </c>
      <c r="D161" s="17" t="s">
        <v>108</v>
      </c>
      <c r="E161" s="17" t="s">
        <v>62</v>
      </c>
      <c r="F161" s="18">
        <v>42779.19</v>
      </c>
      <c r="G161" s="17" t="s">
        <v>83</v>
      </c>
    </row>
    <row r="162" spans="1:7" ht="42" customHeight="1" x14ac:dyDescent="0.25">
      <c r="A162" s="17" t="s">
        <v>24</v>
      </c>
      <c r="B162" s="17" t="s">
        <v>189</v>
      </c>
      <c r="C162" s="17" t="s">
        <v>60</v>
      </c>
      <c r="D162" s="17" t="s">
        <v>109</v>
      </c>
      <c r="E162" s="17" t="s">
        <v>62</v>
      </c>
      <c r="F162" s="18">
        <v>241.18</v>
      </c>
      <c r="G162" s="17" t="s">
        <v>190</v>
      </c>
    </row>
    <row r="163" spans="1:7" ht="42" customHeight="1" x14ac:dyDescent="0.25">
      <c r="A163" s="17" t="s">
        <v>24</v>
      </c>
      <c r="B163" s="17" t="s">
        <v>189</v>
      </c>
      <c r="C163" s="17" t="s">
        <v>60</v>
      </c>
      <c r="D163" s="17" t="s">
        <v>109</v>
      </c>
      <c r="E163" s="17" t="s">
        <v>62</v>
      </c>
      <c r="F163" s="18">
        <v>10851.01</v>
      </c>
      <c r="G163" s="17" t="s">
        <v>191</v>
      </c>
    </row>
    <row r="164" spans="1:7" ht="237.75" customHeight="1" x14ac:dyDescent="0.25">
      <c r="A164" s="17" t="s">
        <v>24</v>
      </c>
      <c r="B164" s="17" t="s">
        <v>189</v>
      </c>
      <c r="C164" s="17" t="s">
        <v>60</v>
      </c>
      <c r="D164" s="17" t="s">
        <v>109</v>
      </c>
      <c r="E164" s="17" t="s">
        <v>62</v>
      </c>
      <c r="F164" s="18">
        <v>159831</v>
      </c>
      <c r="G164" s="17" t="s">
        <v>198</v>
      </c>
    </row>
    <row r="165" spans="1:7" ht="27.75" customHeight="1" x14ac:dyDescent="0.25">
      <c r="A165" s="17" t="s">
        <v>24</v>
      </c>
      <c r="B165" s="17" t="s">
        <v>193</v>
      </c>
      <c r="C165" s="17" t="s">
        <v>60</v>
      </c>
      <c r="D165" s="17" t="s">
        <v>124</v>
      </c>
      <c r="E165" s="17" t="s">
        <v>62</v>
      </c>
      <c r="F165" s="18">
        <v>40573.279999999999</v>
      </c>
      <c r="G165" s="17" t="s">
        <v>83</v>
      </c>
    </row>
    <row r="166" spans="1:7" ht="27.75" customHeight="1" x14ac:dyDescent="0.25">
      <c r="A166" s="17" t="s">
        <v>24</v>
      </c>
      <c r="B166" s="17" t="s">
        <v>189</v>
      </c>
      <c r="C166" s="17" t="s">
        <v>60</v>
      </c>
      <c r="D166" s="17" t="s">
        <v>124</v>
      </c>
      <c r="E166" s="17" t="s">
        <v>62</v>
      </c>
      <c r="F166" s="18">
        <v>1012.96</v>
      </c>
      <c r="G166" s="17" t="s">
        <v>130</v>
      </c>
    </row>
    <row r="167" spans="1:7" ht="13.5" customHeight="1" x14ac:dyDescent="0.25">
      <c r="A167" s="19"/>
      <c r="B167" s="2" t="s">
        <v>199</v>
      </c>
      <c r="C167" s="2"/>
      <c r="D167" s="19" t="s">
        <v>126</v>
      </c>
      <c r="E167" s="19"/>
      <c r="F167" s="19"/>
      <c r="G167" s="19" t="s">
        <v>127</v>
      </c>
    </row>
    <row r="168" spans="1:7" ht="42" customHeight="1" x14ac:dyDescent="0.25">
      <c r="A168" s="17" t="s">
        <v>25</v>
      </c>
      <c r="B168" s="17" t="s">
        <v>200</v>
      </c>
      <c r="C168" s="17" t="s">
        <v>60</v>
      </c>
      <c r="D168" s="17" t="s">
        <v>61</v>
      </c>
      <c r="E168" s="17" t="s">
        <v>62</v>
      </c>
      <c r="F168" s="18">
        <v>0.03</v>
      </c>
      <c r="G168" s="17" t="s">
        <v>201</v>
      </c>
    </row>
    <row r="169" spans="1:7" ht="42" customHeight="1" x14ac:dyDescent="0.25">
      <c r="A169" s="17" t="s">
        <v>25</v>
      </c>
      <c r="B169" s="17" t="s">
        <v>200</v>
      </c>
      <c r="C169" s="17" t="s">
        <v>60</v>
      </c>
      <c r="D169" s="17" t="s">
        <v>61</v>
      </c>
      <c r="E169" s="17" t="s">
        <v>62</v>
      </c>
      <c r="F169" s="18">
        <v>224.65</v>
      </c>
      <c r="G169" s="17" t="s">
        <v>202</v>
      </c>
    </row>
    <row r="170" spans="1:7" ht="42" customHeight="1" x14ac:dyDescent="0.25">
      <c r="A170" s="17" t="s">
        <v>25</v>
      </c>
      <c r="B170" s="17" t="s">
        <v>200</v>
      </c>
      <c r="C170" s="17" t="s">
        <v>60</v>
      </c>
      <c r="D170" s="17" t="s">
        <v>61</v>
      </c>
      <c r="E170" s="17" t="s">
        <v>62</v>
      </c>
      <c r="F170" s="18">
        <v>47.82</v>
      </c>
      <c r="G170" s="17" t="s">
        <v>203</v>
      </c>
    </row>
    <row r="171" spans="1:7" ht="237.75" customHeight="1" x14ac:dyDescent="0.25">
      <c r="A171" s="17" t="s">
        <v>25</v>
      </c>
      <c r="B171" s="17" t="s">
        <v>200</v>
      </c>
      <c r="C171" s="17" t="s">
        <v>60</v>
      </c>
      <c r="D171" s="17" t="s">
        <v>61</v>
      </c>
      <c r="E171" s="17" t="s">
        <v>62</v>
      </c>
      <c r="F171" s="18">
        <v>399587.17</v>
      </c>
      <c r="G171" s="17" t="s">
        <v>204</v>
      </c>
    </row>
    <row r="172" spans="1:7" ht="42" customHeight="1" x14ac:dyDescent="0.25">
      <c r="A172" s="17" t="s">
        <v>25</v>
      </c>
      <c r="B172" s="17" t="s">
        <v>200</v>
      </c>
      <c r="C172" s="17" t="s">
        <v>60</v>
      </c>
      <c r="D172" s="17" t="s">
        <v>61</v>
      </c>
      <c r="E172" s="17" t="s">
        <v>62</v>
      </c>
      <c r="F172" s="18">
        <v>0.02</v>
      </c>
      <c r="G172" s="17" t="s">
        <v>205</v>
      </c>
    </row>
    <row r="173" spans="1:7" ht="27.75" customHeight="1" x14ac:dyDescent="0.25">
      <c r="A173" s="17" t="s">
        <v>25</v>
      </c>
      <c r="B173" s="17" t="s">
        <v>206</v>
      </c>
      <c r="C173" s="17" t="s">
        <v>60</v>
      </c>
      <c r="D173" s="17" t="s">
        <v>207</v>
      </c>
      <c r="E173" s="17" t="s">
        <v>62</v>
      </c>
      <c r="F173" s="18">
        <v>78850.350000000006</v>
      </c>
      <c r="G173" s="17" t="s">
        <v>83</v>
      </c>
    </row>
    <row r="174" spans="1:7" ht="27.75" customHeight="1" x14ac:dyDescent="0.25">
      <c r="A174" s="17" t="s">
        <v>25</v>
      </c>
      <c r="B174" s="17" t="s">
        <v>206</v>
      </c>
      <c r="C174" s="17" t="s">
        <v>60</v>
      </c>
      <c r="D174" s="17" t="s">
        <v>208</v>
      </c>
      <c r="E174" s="17" t="s">
        <v>62</v>
      </c>
      <c r="F174" s="18">
        <v>79073.56</v>
      </c>
      <c r="G174" s="17" t="s">
        <v>83</v>
      </c>
    </row>
    <row r="175" spans="1:7" ht="27.75" customHeight="1" x14ac:dyDescent="0.25">
      <c r="A175" s="17" t="s">
        <v>25</v>
      </c>
      <c r="B175" s="17" t="s">
        <v>206</v>
      </c>
      <c r="C175" s="17" t="s">
        <v>60</v>
      </c>
      <c r="D175" s="17" t="s">
        <v>89</v>
      </c>
      <c r="E175" s="17" t="s">
        <v>62</v>
      </c>
      <c r="F175" s="18">
        <v>54363.54</v>
      </c>
      <c r="G175" s="17" t="s">
        <v>83</v>
      </c>
    </row>
    <row r="176" spans="1:7" ht="42" customHeight="1" x14ac:dyDescent="0.25">
      <c r="A176" s="17" t="s">
        <v>25</v>
      </c>
      <c r="B176" s="17" t="s">
        <v>200</v>
      </c>
      <c r="C176" s="17" t="s">
        <v>60</v>
      </c>
      <c r="D176" s="17" t="s">
        <v>92</v>
      </c>
      <c r="E176" s="17" t="s">
        <v>62</v>
      </c>
      <c r="F176" s="18">
        <v>49.41</v>
      </c>
      <c r="G176" s="17" t="s">
        <v>203</v>
      </c>
    </row>
    <row r="177" spans="1:7" ht="42" customHeight="1" x14ac:dyDescent="0.25">
      <c r="A177" s="17" t="s">
        <v>25</v>
      </c>
      <c r="B177" s="17" t="s">
        <v>200</v>
      </c>
      <c r="C177" s="17" t="s">
        <v>60</v>
      </c>
      <c r="D177" s="17" t="s">
        <v>92</v>
      </c>
      <c r="E177" s="17" t="s">
        <v>62</v>
      </c>
      <c r="F177" s="18">
        <v>0.09</v>
      </c>
      <c r="G177" s="17" t="s">
        <v>209</v>
      </c>
    </row>
    <row r="178" spans="1:7" ht="42" customHeight="1" x14ac:dyDescent="0.25">
      <c r="A178" s="17" t="s">
        <v>25</v>
      </c>
      <c r="B178" s="17" t="s">
        <v>200</v>
      </c>
      <c r="C178" s="17" t="s">
        <v>60</v>
      </c>
      <c r="D178" s="17" t="s">
        <v>92</v>
      </c>
      <c r="E178" s="17" t="s">
        <v>62</v>
      </c>
      <c r="F178" s="18">
        <v>0.42</v>
      </c>
      <c r="G178" s="17" t="s">
        <v>201</v>
      </c>
    </row>
    <row r="179" spans="1:7" ht="237.75" customHeight="1" x14ac:dyDescent="0.25">
      <c r="A179" s="17" t="s">
        <v>25</v>
      </c>
      <c r="B179" s="17" t="s">
        <v>200</v>
      </c>
      <c r="C179" s="17" t="s">
        <v>60</v>
      </c>
      <c r="D179" s="17" t="s">
        <v>92</v>
      </c>
      <c r="E179" s="17" t="s">
        <v>62</v>
      </c>
      <c r="F179" s="18">
        <v>198230.25</v>
      </c>
      <c r="G179" s="17" t="s">
        <v>210</v>
      </c>
    </row>
    <row r="180" spans="1:7" ht="42" customHeight="1" x14ac:dyDescent="0.25">
      <c r="A180" s="17" t="s">
        <v>25</v>
      </c>
      <c r="B180" s="17" t="s">
        <v>200</v>
      </c>
      <c r="C180" s="17" t="s">
        <v>60</v>
      </c>
      <c r="D180" s="17" t="s">
        <v>92</v>
      </c>
      <c r="E180" s="17" t="s">
        <v>62</v>
      </c>
      <c r="F180" s="18">
        <v>232.14</v>
      </c>
      <c r="G180" s="17" t="s">
        <v>202</v>
      </c>
    </row>
    <row r="181" spans="1:7" ht="42" customHeight="1" x14ac:dyDescent="0.25">
      <c r="A181" s="17" t="s">
        <v>25</v>
      </c>
      <c r="B181" s="17" t="s">
        <v>200</v>
      </c>
      <c r="C181" s="17" t="s">
        <v>60</v>
      </c>
      <c r="D181" s="17" t="s">
        <v>92</v>
      </c>
      <c r="E181" s="17" t="s">
        <v>62</v>
      </c>
      <c r="F181" s="18">
        <v>0.04</v>
      </c>
      <c r="G181" s="17" t="s">
        <v>205</v>
      </c>
    </row>
    <row r="182" spans="1:7" ht="27.75" customHeight="1" x14ac:dyDescent="0.25">
      <c r="A182" s="17" t="s">
        <v>25</v>
      </c>
      <c r="B182" s="17" t="s">
        <v>206</v>
      </c>
      <c r="C182" s="17" t="s">
        <v>60</v>
      </c>
      <c r="D182" s="17" t="s">
        <v>211</v>
      </c>
      <c r="E182" s="17" t="s">
        <v>62</v>
      </c>
      <c r="F182" s="18">
        <v>78110.7</v>
      </c>
      <c r="G182" s="17" t="s">
        <v>83</v>
      </c>
    </row>
    <row r="183" spans="1:7" ht="27.75" customHeight="1" x14ac:dyDescent="0.25">
      <c r="A183" s="17" t="s">
        <v>25</v>
      </c>
      <c r="B183" s="17" t="s">
        <v>206</v>
      </c>
      <c r="C183" s="17" t="s">
        <v>60</v>
      </c>
      <c r="D183" s="17" t="s">
        <v>212</v>
      </c>
      <c r="E183" s="17" t="s">
        <v>62</v>
      </c>
      <c r="F183" s="18">
        <v>99999</v>
      </c>
      <c r="G183" s="17" t="s">
        <v>83</v>
      </c>
    </row>
    <row r="184" spans="1:7" ht="27.75" customHeight="1" x14ac:dyDescent="0.25">
      <c r="A184" s="17" t="s">
        <v>25</v>
      </c>
      <c r="B184" s="17" t="s">
        <v>206</v>
      </c>
      <c r="C184" s="17" t="s">
        <v>60</v>
      </c>
      <c r="D184" s="17" t="s">
        <v>108</v>
      </c>
      <c r="E184" s="17" t="s">
        <v>62</v>
      </c>
      <c r="F184" s="18">
        <v>60618.54</v>
      </c>
      <c r="G184" s="17" t="s">
        <v>83</v>
      </c>
    </row>
    <row r="185" spans="1:7" ht="42" customHeight="1" x14ac:dyDescent="0.25">
      <c r="A185" s="17" t="s">
        <v>25</v>
      </c>
      <c r="B185" s="17" t="s">
        <v>200</v>
      </c>
      <c r="C185" s="17" t="s">
        <v>60</v>
      </c>
      <c r="D185" s="17" t="s">
        <v>109</v>
      </c>
      <c r="E185" s="17" t="s">
        <v>62</v>
      </c>
      <c r="F185" s="18">
        <v>0.09</v>
      </c>
      <c r="G185" s="17" t="s">
        <v>205</v>
      </c>
    </row>
    <row r="186" spans="1:7" ht="42" customHeight="1" x14ac:dyDescent="0.25">
      <c r="A186" s="17" t="s">
        <v>25</v>
      </c>
      <c r="B186" s="17" t="s">
        <v>200</v>
      </c>
      <c r="C186" s="17" t="s">
        <v>60</v>
      </c>
      <c r="D186" s="17" t="s">
        <v>109</v>
      </c>
      <c r="E186" s="17" t="s">
        <v>62</v>
      </c>
      <c r="F186" s="18">
        <v>2.41</v>
      </c>
      <c r="G186" s="17" t="s">
        <v>201</v>
      </c>
    </row>
    <row r="187" spans="1:7" ht="42" customHeight="1" x14ac:dyDescent="0.25">
      <c r="A187" s="17" t="s">
        <v>25</v>
      </c>
      <c r="B187" s="17" t="s">
        <v>200</v>
      </c>
      <c r="C187" s="17" t="s">
        <v>60</v>
      </c>
      <c r="D187" s="17" t="s">
        <v>109</v>
      </c>
      <c r="E187" s="17" t="s">
        <v>62</v>
      </c>
      <c r="F187" s="18">
        <v>232.14</v>
      </c>
      <c r="G187" s="17" t="s">
        <v>202</v>
      </c>
    </row>
    <row r="188" spans="1:7" ht="42" customHeight="1" x14ac:dyDescent="0.25">
      <c r="A188" s="17" t="s">
        <v>25</v>
      </c>
      <c r="B188" s="17" t="s">
        <v>200</v>
      </c>
      <c r="C188" s="17" t="s">
        <v>60</v>
      </c>
      <c r="D188" s="17" t="s">
        <v>109</v>
      </c>
      <c r="E188" s="17" t="s">
        <v>62</v>
      </c>
      <c r="F188" s="18">
        <v>0.14000000000000001</v>
      </c>
      <c r="G188" s="17" t="s">
        <v>209</v>
      </c>
    </row>
    <row r="189" spans="1:7" ht="42" customHeight="1" x14ac:dyDescent="0.25">
      <c r="A189" s="17" t="s">
        <v>25</v>
      </c>
      <c r="B189" s="17" t="s">
        <v>200</v>
      </c>
      <c r="C189" s="17" t="s">
        <v>60</v>
      </c>
      <c r="D189" s="17" t="s">
        <v>109</v>
      </c>
      <c r="E189" s="17" t="s">
        <v>62</v>
      </c>
      <c r="F189" s="18">
        <v>49.41</v>
      </c>
      <c r="G189" s="17" t="s">
        <v>203</v>
      </c>
    </row>
    <row r="190" spans="1:7" ht="237.75" customHeight="1" x14ac:dyDescent="0.25">
      <c r="A190" s="17" t="s">
        <v>25</v>
      </c>
      <c r="B190" s="17" t="s">
        <v>200</v>
      </c>
      <c r="C190" s="17" t="s">
        <v>60</v>
      </c>
      <c r="D190" s="17" t="s">
        <v>109</v>
      </c>
      <c r="E190" s="17" t="s">
        <v>62</v>
      </c>
      <c r="F190" s="18">
        <v>439396.83</v>
      </c>
      <c r="G190" s="17" t="s">
        <v>213</v>
      </c>
    </row>
    <row r="191" spans="1:7" ht="27.75" customHeight="1" x14ac:dyDescent="0.25">
      <c r="A191" s="17" t="s">
        <v>25</v>
      </c>
      <c r="B191" s="17" t="s">
        <v>206</v>
      </c>
      <c r="C191" s="17" t="s">
        <v>60</v>
      </c>
      <c r="D191" s="17" t="s">
        <v>214</v>
      </c>
      <c r="E191" s="17" t="s">
        <v>62</v>
      </c>
      <c r="F191" s="18">
        <v>84361.03</v>
      </c>
      <c r="G191" s="17" t="s">
        <v>83</v>
      </c>
    </row>
    <row r="192" spans="1:7" ht="27.75" customHeight="1" x14ac:dyDescent="0.25">
      <c r="A192" s="17" t="s">
        <v>25</v>
      </c>
      <c r="B192" s="17" t="s">
        <v>206</v>
      </c>
      <c r="C192" s="17" t="s">
        <v>60</v>
      </c>
      <c r="D192" s="17" t="s">
        <v>215</v>
      </c>
      <c r="E192" s="17" t="s">
        <v>62</v>
      </c>
      <c r="F192" s="18">
        <v>76936.52</v>
      </c>
      <c r="G192" s="17" t="s">
        <v>83</v>
      </c>
    </row>
    <row r="193" spans="1:7" ht="27.75" customHeight="1" x14ac:dyDescent="0.25">
      <c r="A193" s="17" t="s">
        <v>25</v>
      </c>
      <c r="B193" s="17" t="s">
        <v>206</v>
      </c>
      <c r="C193" s="17" t="s">
        <v>60</v>
      </c>
      <c r="D193" s="17" t="s">
        <v>124</v>
      </c>
      <c r="E193" s="17" t="s">
        <v>62</v>
      </c>
      <c r="F193" s="18">
        <v>58288.77</v>
      </c>
      <c r="G193" s="17" t="s">
        <v>83</v>
      </c>
    </row>
    <row r="194" spans="1:7" ht="13.5" customHeight="1" x14ac:dyDescent="0.25">
      <c r="A194" s="19"/>
      <c r="B194" s="2" t="s">
        <v>216</v>
      </c>
      <c r="C194" s="2"/>
      <c r="D194" s="19" t="s">
        <v>126</v>
      </c>
      <c r="E194" s="19"/>
      <c r="F194" s="19"/>
      <c r="G194" s="19" t="s">
        <v>127</v>
      </c>
    </row>
    <row r="195" spans="1:7" ht="237.75" customHeight="1" x14ac:dyDescent="0.25">
      <c r="A195" s="17" t="s">
        <v>26</v>
      </c>
      <c r="B195" s="17" t="s">
        <v>217</v>
      </c>
      <c r="C195" s="17" t="s">
        <v>60</v>
      </c>
      <c r="D195" s="17" t="s">
        <v>61</v>
      </c>
      <c r="E195" s="17" t="s">
        <v>62</v>
      </c>
      <c r="F195" s="18">
        <v>378382.46</v>
      </c>
      <c r="G195" s="17" t="s">
        <v>218</v>
      </c>
    </row>
    <row r="196" spans="1:7" ht="42" customHeight="1" x14ac:dyDescent="0.25">
      <c r="A196" s="17" t="s">
        <v>26</v>
      </c>
      <c r="B196" s="17" t="s">
        <v>217</v>
      </c>
      <c r="C196" s="17" t="s">
        <v>60</v>
      </c>
      <c r="D196" s="17" t="s">
        <v>61</v>
      </c>
      <c r="E196" s="17" t="s">
        <v>62</v>
      </c>
      <c r="F196" s="18">
        <v>1453.16</v>
      </c>
      <c r="G196" s="17" t="s">
        <v>219</v>
      </c>
    </row>
    <row r="197" spans="1:7" ht="42" customHeight="1" x14ac:dyDescent="0.25">
      <c r="A197" s="17" t="s">
        <v>26</v>
      </c>
      <c r="B197" s="17" t="s">
        <v>217</v>
      </c>
      <c r="C197" s="17" t="s">
        <v>60</v>
      </c>
      <c r="D197" s="17" t="s">
        <v>61</v>
      </c>
      <c r="E197" s="17" t="s">
        <v>62</v>
      </c>
      <c r="F197" s="18">
        <v>4444.32</v>
      </c>
      <c r="G197" s="17" t="s">
        <v>220</v>
      </c>
    </row>
    <row r="198" spans="1:7" ht="27.75" customHeight="1" x14ac:dyDescent="0.25">
      <c r="A198" s="17" t="s">
        <v>26</v>
      </c>
      <c r="B198" s="17" t="s">
        <v>221</v>
      </c>
      <c r="C198" s="17" t="s">
        <v>60</v>
      </c>
      <c r="D198" s="17" t="s">
        <v>78</v>
      </c>
      <c r="E198" s="17" t="s">
        <v>62</v>
      </c>
      <c r="F198" s="18">
        <v>79847.88</v>
      </c>
      <c r="G198" s="17" t="s">
        <v>83</v>
      </c>
    </row>
    <row r="199" spans="1:7" ht="27.75" customHeight="1" x14ac:dyDescent="0.25">
      <c r="A199" s="17" t="s">
        <v>26</v>
      </c>
      <c r="B199" s="17" t="s">
        <v>221</v>
      </c>
      <c r="C199" s="17" t="s">
        <v>60</v>
      </c>
      <c r="D199" s="17" t="s">
        <v>138</v>
      </c>
      <c r="E199" s="17" t="s">
        <v>62</v>
      </c>
      <c r="F199" s="18">
        <v>82571</v>
      </c>
      <c r="G199" s="17" t="s">
        <v>83</v>
      </c>
    </row>
    <row r="200" spans="1:7" ht="27.75" customHeight="1" x14ac:dyDescent="0.25">
      <c r="A200" s="17" t="s">
        <v>26</v>
      </c>
      <c r="B200" s="17" t="s">
        <v>221</v>
      </c>
      <c r="C200" s="17" t="s">
        <v>60</v>
      </c>
      <c r="D200" s="17" t="s">
        <v>208</v>
      </c>
      <c r="E200" s="17" t="s">
        <v>62</v>
      </c>
      <c r="F200" s="18">
        <v>81439.56</v>
      </c>
      <c r="G200" s="17" t="s">
        <v>83</v>
      </c>
    </row>
    <row r="201" spans="1:7" ht="27.75" customHeight="1" x14ac:dyDescent="0.25">
      <c r="A201" s="17" t="s">
        <v>26</v>
      </c>
      <c r="B201" s="17" t="s">
        <v>221</v>
      </c>
      <c r="C201" s="17" t="s">
        <v>60</v>
      </c>
      <c r="D201" s="17" t="s">
        <v>222</v>
      </c>
      <c r="E201" s="17" t="s">
        <v>62</v>
      </c>
      <c r="F201" s="18">
        <v>81494.490000000005</v>
      </c>
      <c r="G201" s="17" t="s">
        <v>83</v>
      </c>
    </row>
    <row r="202" spans="1:7" ht="27.75" customHeight="1" x14ac:dyDescent="0.25">
      <c r="A202" s="17" t="s">
        <v>26</v>
      </c>
      <c r="B202" s="17" t="s">
        <v>221</v>
      </c>
      <c r="C202" s="17" t="s">
        <v>60</v>
      </c>
      <c r="D202" s="17" t="s">
        <v>89</v>
      </c>
      <c r="E202" s="17" t="s">
        <v>62</v>
      </c>
      <c r="F202" s="18">
        <v>32514.01</v>
      </c>
      <c r="G202" s="17" t="s">
        <v>83</v>
      </c>
    </row>
    <row r="203" spans="1:7" ht="27.75" customHeight="1" x14ac:dyDescent="0.25">
      <c r="A203" s="17" t="s">
        <v>26</v>
      </c>
      <c r="B203" s="17" t="s">
        <v>217</v>
      </c>
      <c r="C203" s="17" t="s">
        <v>60</v>
      </c>
      <c r="D203" s="17" t="s">
        <v>89</v>
      </c>
      <c r="E203" s="17" t="s">
        <v>62</v>
      </c>
      <c r="F203" s="18">
        <v>146855.78</v>
      </c>
      <c r="G203" s="17" t="s">
        <v>130</v>
      </c>
    </row>
    <row r="204" spans="1:7" ht="42" customHeight="1" x14ac:dyDescent="0.25">
      <c r="A204" s="17" t="s">
        <v>26</v>
      </c>
      <c r="B204" s="17" t="s">
        <v>217</v>
      </c>
      <c r="C204" s="17" t="s">
        <v>60</v>
      </c>
      <c r="D204" s="17" t="s">
        <v>92</v>
      </c>
      <c r="E204" s="17" t="s">
        <v>62</v>
      </c>
      <c r="F204" s="18">
        <v>3351.24</v>
      </c>
      <c r="G204" s="17" t="s">
        <v>220</v>
      </c>
    </row>
    <row r="205" spans="1:7" ht="42" customHeight="1" x14ac:dyDescent="0.25">
      <c r="A205" s="17" t="s">
        <v>26</v>
      </c>
      <c r="B205" s="17" t="s">
        <v>217</v>
      </c>
      <c r="C205" s="17" t="s">
        <v>60</v>
      </c>
      <c r="D205" s="17" t="s">
        <v>92</v>
      </c>
      <c r="E205" s="17" t="s">
        <v>62</v>
      </c>
      <c r="F205" s="18">
        <v>1722.53</v>
      </c>
      <c r="G205" s="17" t="s">
        <v>219</v>
      </c>
    </row>
    <row r="206" spans="1:7" ht="237.75" customHeight="1" x14ac:dyDescent="0.25">
      <c r="A206" s="17" t="s">
        <v>26</v>
      </c>
      <c r="B206" s="17" t="s">
        <v>217</v>
      </c>
      <c r="C206" s="17" t="s">
        <v>60</v>
      </c>
      <c r="D206" s="17" t="s">
        <v>92</v>
      </c>
      <c r="E206" s="17" t="s">
        <v>62</v>
      </c>
      <c r="F206" s="18">
        <v>426771.04</v>
      </c>
      <c r="G206" s="17" t="s">
        <v>223</v>
      </c>
    </row>
    <row r="207" spans="1:7" ht="27.75" customHeight="1" x14ac:dyDescent="0.25">
      <c r="A207" s="17" t="s">
        <v>26</v>
      </c>
      <c r="B207" s="17" t="s">
        <v>221</v>
      </c>
      <c r="C207" s="17" t="s">
        <v>60</v>
      </c>
      <c r="D207" s="17" t="s">
        <v>103</v>
      </c>
      <c r="E207" s="17" t="s">
        <v>62</v>
      </c>
      <c r="F207" s="18">
        <v>99999</v>
      </c>
      <c r="G207" s="17" t="s">
        <v>83</v>
      </c>
    </row>
    <row r="208" spans="1:7" ht="237.75" customHeight="1" x14ac:dyDescent="0.25">
      <c r="A208" s="17" t="s">
        <v>26</v>
      </c>
      <c r="B208" s="17" t="s">
        <v>217</v>
      </c>
      <c r="C208" s="17" t="s">
        <v>60</v>
      </c>
      <c r="D208" s="17" t="s">
        <v>211</v>
      </c>
      <c r="E208" s="17" t="s">
        <v>62</v>
      </c>
      <c r="F208" s="18">
        <v>917.36</v>
      </c>
      <c r="G208" s="17" t="s">
        <v>224</v>
      </c>
    </row>
    <row r="209" spans="1:7" ht="27.75" customHeight="1" x14ac:dyDescent="0.25">
      <c r="A209" s="17" t="s">
        <v>26</v>
      </c>
      <c r="B209" s="17" t="s">
        <v>221</v>
      </c>
      <c r="C209" s="17" t="s">
        <v>60</v>
      </c>
      <c r="D209" s="17" t="s">
        <v>225</v>
      </c>
      <c r="E209" s="17" t="s">
        <v>62</v>
      </c>
      <c r="F209" s="18">
        <v>88487.06</v>
      </c>
      <c r="G209" s="17" t="s">
        <v>83</v>
      </c>
    </row>
    <row r="210" spans="1:7" ht="237.75" customHeight="1" x14ac:dyDescent="0.25">
      <c r="A210" s="17" t="s">
        <v>26</v>
      </c>
      <c r="B210" s="17" t="s">
        <v>217</v>
      </c>
      <c r="C210" s="17" t="s">
        <v>60</v>
      </c>
      <c r="D210" s="17" t="s">
        <v>104</v>
      </c>
      <c r="E210" s="17" t="s">
        <v>62</v>
      </c>
      <c r="F210" s="18">
        <v>66952.5</v>
      </c>
      <c r="G210" s="17" t="s">
        <v>226</v>
      </c>
    </row>
    <row r="211" spans="1:7" ht="27.75" customHeight="1" x14ac:dyDescent="0.25">
      <c r="A211" s="17" t="s">
        <v>26</v>
      </c>
      <c r="B211" s="17" t="s">
        <v>221</v>
      </c>
      <c r="C211" s="17" t="s">
        <v>60</v>
      </c>
      <c r="D211" s="17" t="s">
        <v>212</v>
      </c>
      <c r="E211" s="17" t="s">
        <v>62</v>
      </c>
      <c r="F211" s="18">
        <v>80703.77</v>
      </c>
      <c r="G211" s="17" t="s">
        <v>83</v>
      </c>
    </row>
    <row r="212" spans="1:7" ht="27.75" customHeight="1" x14ac:dyDescent="0.25">
      <c r="A212" s="17" t="s">
        <v>26</v>
      </c>
      <c r="B212" s="17" t="s">
        <v>221</v>
      </c>
      <c r="C212" s="17" t="s">
        <v>60</v>
      </c>
      <c r="D212" s="17" t="s">
        <v>227</v>
      </c>
      <c r="E212" s="17" t="s">
        <v>62</v>
      </c>
      <c r="F212" s="18">
        <v>83318.759999999995</v>
      </c>
      <c r="G212" s="17" t="s">
        <v>83</v>
      </c>
    </row>
    <row r="213" spans="1:7" ht="27.75" customHeight="1" x14ac:dyDescent="0.25">
      <c r="A213" s="17" t="s">
        <v>26</v>
      </c>
      <c r="B213" s="17" t="s">
        <v>221</v>
      </c>
      <c r="C213" s="17" t="s">
        <v>60</v>
      </c>
      <c r="D213" s="17" t="s">
        <v>108</v>
      </c>
      <c r="E213" s="17" t="s">
        <v>62</v>
      </c>
      <c r="F213" s="18">
        <v>13249.64</v>
      </c>
      <c r="G213" s="17" t="s">
        <v>83</v>
      </c>
    </row>
    <row r="214" spans="1:7" ht="27.75" customHeight="1" x14ac:dyDescent="0.25">
      <c r="A214" s="17" t="s">
        <v>26</v>
      </c>
      <c r="B214" s="17" t="s">
        <v>217</v>
      </c>
      <c r="C214" s="17" t="s">
        <v>60</v>
      </c>
      <c r="D214" s="17" t="s">
        <v>108</v>
      </c>
      <c r="E214" s="17" t="s">
        <v>62</v>
      </c>
      <c r="F214" s="18">
        <v>5419.94</v>
      </c>
      <c r="G214" s="17" t="s">
        <v>130</v>
      </c>
    </row>
    <row r="215" spans="1:7" ht="42" customHeight="1" x14ac:dyDescent="0.25">
      <c r="A215" s="17" t="s">
        <v>26</v>
      </c>
      <c r="B215" s="17" t="s">
        <v>217</v>
      </c>
      <c r="C215" s="17" t="s">
        <v>60</v>
      </c>
      <c r="D215" s="17" t="s">
        <v>109</v>
      </c>
      <c r="E215" s="17" t="s">
        <v>62</v>
      </c>
      <c r="F215" s="18">
        <v>1492.22</v>
      </c>
      <c r="G215" s="17" t="s">
        <v>219</v>
      </c>
    </row>
    <row r="216" spans="1:7" ht="237.75" customHeight="1" x14ac:dyDescent="0.25">
      <c r="A216" s="17" t="s">
        <v>26</v>
      </c>
      <c r="B216" s="17" t="s">
        <v>217</v>
      </c>
      <c r="C216" s="17" t="s">
        <v>60</v>
      </c>
      <c r="D216" s="17" t="s">
        <v>109</v>
      </c>
      <c r="E216" s="17" t="s">
        <v>62</v>
      </c>
      <c r="F216" s="18">
        <v>303645.46000000002</v>
      </c>
      <c r="G216" s="17" t="s">
        <v>228</v>
      </c>
    </row>
    <row r="217" spans="1:7" ht="42" customHeight="1" x14ac:dyDescent="0.25">
      <c r="A217" s="17" t="s">
        <v>26</v>
      </c>
      <c r="B217" s="17" t="s">
        <v>217</v>
      </c>
      <c r="C217" s="17" t="s">
        <v>60</v>
      </c>
      <c r="D217" s="17" t="s">
        <v>109</v>
      </c>
      <c r="E217" s="17" t="s">
        <v>62</v>
      </c>
      <c r="F217" s="18">
        <v>3869.37</v>
      </c>
      <c r="G217" s="17" t="s">
        <v>220</v>
      </c>
    </row>
    <row r="218" spans="1:7" ht="237.75" customHeight="1" x14ac:dyDescent="0.25">
      <c r="A218" s="17" t="s">
        <v>26</v>
      </c>
      <c r="B218" s="17" t="s">
        <v>217</v>
      </c>
      <c r="C218" s="17" t="s">
        <v>60</v>
      </c>
      <c r="D218" s="17" t="s">
        <v>114</v>
      </c>
      <c r="E218" s="17" t="s">
        <v>62</v>
      </c>
      <c r="F218" s="18">
        <v>114968.48</v>
      </c>
      <c r="G218" s="17" t="s">
        <v>229</v>
      </c>
    </row>
    <row r="219" spans="1:7" ht="27.75" customHeight="1" x14ac:dyDescent="0.25">
      <c r="A219" s="17" t="s">
        <v>26</v>
      </c>
      <c r="B219" s="17" t="s">
        <v>221</v>
      </c>
      <c r="C219" s="17" t="s">
        <v>60</v>
      </c>
      <c r="D219" s="17" t="s">
        <v>230</v>
      </c>
      <c r="E219" s="17" t="s">
        <v>62</v>
      </c>
      <c r="F219" s="18">
        <v>99999</v>
      </c>
      <c r="G219" s="17" t="s">
        <v>83</v>
      </c>
    </row>
    <row r="220" spans="1:7" ht="27.75" customHeight="1" x14ac:dyDescent="0.25">
      <c r="A220" s="17" t="s">
        <v>26</v>
      </c>
      <c r="B220" s="17" t="s">
        <v>221</v>
      </c>
      <c r="C220" s="17" t="s">
        <v>60</v>
      </c>
      <c r="D220" s="17" t="s">
        <v>214</v>
      </c>
      <c r="E220" s="17" t="s">
        <v>62</v>
      </c>
      <c r="F220" s="18">
        <v>99999</v>
      </c>
      <c r="G220" s="17" t="s">
        <v>83</v>
      </c>
    </row>
    <row r="221" spans="1:7" ht="27.75" customHeight="1" x14ac:dyDescent="0.25">
      <c r="A221" s="17" t="s">
        <v>26</v>
      </c>
      <c r="B221" s="17" t="s">
        <v>221</v>
      </c>
      <c r="C221" s="17" t="s">
        <v>60</v>
      </c>
      <c r="D221" s="17" t="s">
        <v>119</v>
      </c>
      <c r="E221" s="17" t="s">
        <v>62</v>
      </c>
      <c r="F221" s="18">
        <v>93876.94</v>
      </c>
      <c r="G221" s="17" t="s">
        <v>83</v>
      </c>
    </row>
    <row r="222" spans="1:7" ht="237.75" customHeight="1" x14ac:dyDescent="0.25">
      <c r="A222" s="17" t="s">
        <v>26</v>
      </c>
      <c r="B222" s="17" t="s">
        <v>217</v>
      </c>
      <c r="C222" s="17" t="s">
        <v>60</v>
      </c>
      <c r="D222" s="17" t="s">
        <v>231</v>
      </c>
      <c r="E222" s="17" t="s">
        <v>62</v>
      </c>
      <c r="F222" s="18">
        <v>3916.54</v>
      </c>
      <c r="G222" s="17" t="s">
        <v>232</v>
      </c>
    </row>
    <row r="223" spans="1:7" ht="27.75" customHeight="1" x14ac:dyDescent="0.25">
      <c r="A223" s="17" t="s">
        <v>26</v>
      </c>
      <c r="B223" s="17" t="s">
        <v>221</v>
      </c>
      <c r="C223" s="17" t="s">
        <v>60</v>
      </c>
      <c r="D223" s="17" t="s">
        <v>215</v>
      </c>
      <c r="E223" s="17" t="s">
        <v>62</v>
      </c>
      <c r="F223" s="18">
        <v>93957.51</v>
      </c>
      <c r="G223" s="17" t="s">
        <v>83</v>
      </c>
    </row>
    <row r="224" spans="1:7" ht="27.75" customHeight="1" x14ac:dyDescent="0.25">
      <c r="A224" s="17" t="s">
        <v>26</v>
      </c>
      <c r="B224" s="17" t="s">
        <v>221</v>
      </c>
      <c r="C224" s="17" t="s">
        <v>60</v>
      </c>
      <c r="D224" s="17" t="s">
        <v>233</v>
      </c>
      <c r="E224" s="17" t="s">
        <v>62</v>
      </c>
      <c r="F224" s="18">
        <v>99999</v>
      </c>
      <c r="G224" s="17" t="s">
        <v>83</v>
      </c>
    </row>
    <row r="225" spans="1:7" ht="27.75" customHeight="1" x14ac:dyDescent="0.25">
      <c r="A225" s="17" t="s">
        <v>26</v>
      </c>
      <c r="B225" s="17" t="s">
        <v>221</v>
      </c>
      <c r="C225" s="17" t="s">
        <v>60</v>
      </c>
      <c r="D225" s="17" t="s">
        <v>234</v>
      </c>
      <c r="E225" s="17" t="s">
        <v>62</v>
      </c>
      <c r="F225" s="18">
        <v>82013.16</v>
      </c>
      <c r="G225" s="17" t="s">
        <v>83</v>
      </c>
    </row>
    <row r="226" spans="1:7" ht="27.75" customHeight="1" x14ac:dyDescent="0.25">
      <c r="A226" s="17" t="s">
        <v>26</v>
      </c>
      <c r="B226" s="17" t="s">
        <v>217</v>
      </c>
      <c r="C226" s="17" t="s">
        <v>60</v>
      </c>
      <c r="D226" s="17" t="s">
        <v>124</v>
      </c>
      <c r="E226" s="17" t="s">
        <v>62</v>
      </c>
      <c r="F226" s="18">
        <v>4661.9399999999996</v>
      </c>
      <c r="G226" s="17" t="s">
        <v>130</v>
      </c>
    </row>
    <row r="227" spans="1:7" ht="237.75" customHeight="1" x14ac:dyDescent="0.25">
      <c r="A227" s="17" t="s">
        <v>26</v>
      </c>
      <c r="B227" s="17" t="s">
        <v>217</v>
      </c>
      <c r="C227" s="17" t="s">
        <v>60</v>
      </c>
      <c r="D227" s="17" t="s">
        <v>124</v>
      </c>
      <c r="E227" s="17" t="s">
        <v>62</v>
      </c>
      <c r="F227" s="18">
        <v>174111.44</v>
      </c>
      <c r="G227" s="17" t="s">
        <v>235</v>
      </c>
    </row>
    <row r="228" spans="1:7" ht="27.75" customHeight="1" x14ac:dyDescent="0.25">
      <c r="A228" s="17" t="s">
        <v>26</v>
      </c>
      <c r="B228" s="17" t="s">
        <v>221</v>
      </c>
      <c r="C228" s="17" t="s">
        <v>60</v>
      </c>
      <c r="D228" s="17" t="s">
        <v>124</v>
      </c>
      <c r="E228" s="17" t="s">
        <v>62</v>
      </c>
      <c r="F228" s="18">
        <v>21867.97</v>
      </c>
      <c r="G228" s="17" t="s">
        <v>83</v>
      </c>
    </row>
    <row r="229" spans="1:7" ht="13.5" customHeight="1" x14ac:dyDescent="0.25">
      <c r="A229" s="19"/>
      <c r="B229" s="2" t="s">
        <v>236</v>
      </c>
      <c r="C229" s="2"/>
      <c r="D229" s="19" t="s">
        <v>126</v>
      </c>
      <c r="E229" s="19"/>
      <c r="F229" s="19"/>
      <c r="G229" s="19" t="s">
        <v>127</v>
      </c>
    </row>
    <row r="230" spans="1:7" ht="210" customHeight="1" x14ac:dyDescent="0.25">
      <c r="A230" s="17" t="s">
        <v>27</v>
      </c>
      <c r="B230" s="17" t="s">
        <v>237</v>
      </c>
      <c r="C230" s="17" t="s">
        <v>60</v>
      </c>
      <c r="D230" s="17" t="s">
        <v>61</v>
      </c>
      <c r="E230" s="17" t="s">
        <v>62</v>
      </c>
      <c r="F230" s="18">
        <v>18150</v>
      </c>
      <c r="G230" s="17" t="s">
        <v>238</v>
      </c>
    </row>
    <row r="231" spans="1:7" ht="210" customHeight="1" x14ac:dyDescent="0.25">
      <c r="A231" s="17" t="s">
        <v>27</v>
      </c>
      <c r="B231" s="17" t="s">
        <v>237</v>
      </c>
      <c r="C231" s="17" t="s">
        <v>60</v>
      </c>
      <c r="D231" s="17" t="s">
        <v>92</v>
      </c>
      <c r="E231" s="17" t="s">
        <v>62</v>
      </c>
      <c r="F231" s="18">
        <v>18788.400000000001</v>
      </c>
      <c r="G231" s="17" t="s">
        <v>239</v>
      </c>
    </row>
    <row r="232" spans="1:7" ht="223.5" customHeight="1" x14ac:dyDescent="0.25">
      <c r="A232" s="17" t="s">
        <v>27</v>
      </c>
      <c r="B232" s="17" t="s">
        <v>237</v>
      </c>
      <c r="C232" s="17" t="s">
        <v>60</v>
      </c>
      <c r="D232" s="17" t="s">
        <v>109</v>
      </c>
      <c r="E232" s="17" t="s">
        <v>62</v>
      </c>
      <c r="F232" s="18">
        <v>16692.77</v>
      </c>
      <c r="G232" s="17" t="s">
        <v>240</v>
      </c>
    </row>
    <row r="233" spans="1:7" ht="223.5" customHeight="1" x14ac:dyDescent="0.25">
      <c r="A233" s="17" t="s">
        <v>27</v>
      </c>
      <c r="B233" s="17" t="s">
        <v>237</v>
      </c>
      <c r="C233" s="17" t="s">
        <v>60</v>
      </c>
      <c r="D233" s="17" t="s">
        <v>114</v>
      </c>
      <c r="E233" s="17" t="s">
        <v>62</v>
      </c>
      <c r="F233" s="18">
        <v>14379.75</v>
      </c>
      <c r="G233" s="17" t="s">
        <v>241</v>
      </c>
    </row>
    <row r="234" spans="1:7" ht="13.5" customHeight="1" x14ac:dyDescent="0.25">
      <c r="A234" s="19"/>
      <c r="B234" s="2" t="s">
        <v>242</v>
      </c>
      <c r="C234" s="2"/>
      <c r="D234" s="19" t="s">
        <v>126</v>
      </c>
      <c r="E234" s="19"/>
      <c r="F234" s="19"/>
      <c r="G234" s="19" t="s">
        <v>127</v>
      </c>
    </row>
    <row r="235" spans="1:7" ht="223.5" customHeight="1" x14ac:dyDescent="0.25">
      <c r="A235" s="17" t="s">
        <v>28</v>
      </c>
      <c r="B235" s="17" t="s">
        <v>243</v>
      </c>
      <c r="C235" s="17" t="s">
        <v>60</v>
      </c>
      <c r="D235" s="17" t="s">
        <v>61</v>
      </c>
      <c r="E235" s="17" t="s">
        <v>62</v>
      </c>
      <c r="F235" s="18">
        <v>28172.97</v>
      </c>
      <c r="G235" s="17" t="s">
        <v>244</v>
      </c>
    </row>
    <row r="236" spans="1:7" ht="27.75" customHeight="1" x14ac:dyDescent="0.25">
      <c r="A236" s="17" t="s">
        <v>28</v>
      </c>
      <c r="B236" s="17" t="s">
        <v>243</v>
      </c>
      <c r="C236" s="17" t="s">
        <v>60</v>
      </c>
      <c r="D236" s="17" t="s">
        <v>89</v>
      </c>
      <c r="E236" s="17" t="s">
        <v>62</v>
      </c>
      <c r="F236" s="18">
        <v>8321.9</v>
      </c>
      <c r="G236" s="17" t="s">
        <v>130</v>
      </c>
    </row>
    <row r="237" spans="1:7" ht="223.5" customHeight="1" x14ac:dyDescent="0.25">
      <c r="A237" s="17" t="s">
        <v>28</v>
      </c>
      <c r="B237" s="17" t="s">
        <v>243</v>
      </c>
      <c r="C237" s="17" t="s">
        <v>60</v>
      </c>
      <c r="D237" s="17" t="s">
        <v>92</v>
      </c>
      <c r="E237" s="17" t="s">
        <v>62</v>
      </c>
      <c r="F237" s="18">
        <v>27701.23</v>
      </c>
      <c r="G237" s="17" t="s">
        <v>245</v>
      </c>
    </row>
    <row r="238" spans="1:7" ht="27.75" customHeight="1" x14ac:dyDescent="0.25">
      <c r="A238" s="17" t="s">
        <v>28</v>
      </c>
      <c r="B238" s="17" t="s">
        <v>243</v>
      </c>
      <c r="C238" s="17" t="s">
        <v>60</v>
      </c>
      <c r="D238" s="17" t="s">
        <v>108</v>
      </c>
      <c r="E238" s="17" t="s">
        <v>62</v>
      </c>
      <c r="F238" s="18">
        <v>5101.71</v>
      </c>
      <c r="G238" s="17" t="s">
        <v>130</v>
      </c>
    </row>
    <row r="239" spans="1:7" ht="223.5" customHeight="1" x14ac:dyDescent="0.25">
      <c r="A239" s="17" t="s">
        <v>28</v>
      </c>
      <c r="B239" s="17" t="s">
        <v>243</v>
      </c>
      <c r="C239" s="17" t="s">
        <v>60</v>
      </c>
      <c r="D239" s="17" t="s">
        <v>109</v>
      </c>
      <c r="E239" s="17" t="s">
        <v>62</v>
      </c>
      <c r="F239" s="18">
        <v>27271.23</v>
      </c>
      <c r="G239" s="17" t="s">
        <v>246</v>
      </c>
    </row>
    <row r="240" spans="1:7" ht="27.75" customHeight="1" x14ac:dyDescent="0.25">
      <c r="A240" s="17" t="s">
        <v>28</v>
      </c>
      <c r="B240" s="17" t="s">
        <v>243</v>
      </c>
      <c r="C240" s="17" t="s">
        <v>60</v>
      </c>
      <c r="D240" s="17" t="s">
        <v>124</v>
      </c>
      <c r="E240" s="17" t="s">
        <v>62</v>
      </c>
      <c r="F240" s="18">
        <v>7203.75</v>
      </c>
      <c r="G240" s="17" t="s">
        <v>130</v>
      </c>
    </row>
    <row r="241" spans="1:7" ht="13.5" customHeight="1" x14ac:dyDescent="0.25">
      <c r="A241" s="19"/>
      <c r="B241" s="2" t="s">
        <v>247</v>
      </c>
      <c r="C241" s="2"/>
      <c r="D241" s="19" t="s">
        <v>126</v>
      </c>
      <c r="E241" s="19"/>
      <c r="F241" s="19"/>
      <c r="G241" s="19" t="s">
        <v>127</v>
      </c>
    </row>
    <row r="242" spans="1:7" ht="409.5" customHeight="1" x14ac:dyDescent="0.25">
      <c r="A242" s="17" t="s">
        <v>29</v>
      </c>
      <c r="B242" s="17" t="s">
        <v>248</v>
      </c>
      <c r="C242" s="17" t="s">
        <v>60</v>
      </c>
      <c r="D242" s="17" t="s">
        <v>61</v>
      </c>
      <c r="E242" s="17" t="s">
        <v>62</v>
      </c>
      <c r="F242" s="18">
        <v>38482.120000000003</v>
      </c>
      <c r="G242" s="17" t="s">
        <v>249</v>
      </c>
    </row>
    <row r="243" spans="1:7" ht="409.5" customHeight="1" x14ac:dyDescent="0.25">
      <c r="A243" s="17" t="s">
        <v>29</v>
      </c>
      <c r="B243" s="17" t="s">
        <v>248</v>
      </c>
      <c r="C243" s="17" t="s">
        <v>60</v>
      </c>
      <c r="D243" s="17" t="s">
        <v>92</v>
      </c>
      <c r="E243" s="17" t="s">
        <v>62</v>
      </c>
      <c r="F243" s="18">
        <v>39866.03</v>
      </c>
      <c r="G243" s="17" t="s">
        <v>250</v>
      </c>
    </row>
    <row r="244" spans="1:7" ht="409.5" customHeight="1" x14ac:dyDescent="0.25">
      <c r="A244" s="17" t="s">
        <v>29</v>
      </c>
      <c r="B244" s="17" t="s">
        <v>248</v>
      </c>
      <c r="C244" s="17" t="s">
        <v>60</v>
      </c>
      <c r="D244" s="17" t="s">
        <v>109</v>
      </c>
      <c r="E244" s="17" t="s">
        <v>62</v>
      </c>
      <c r="F244" s="18">
        <v>40074.68</v>
      </c>
      <c r="G244" s="17" t="s">
        <v>251</v>
      </c>
    </row>
    <row r="245" spans="1:7" ht="13.5" customHeight="1" x14ac:dyDescent="0.25">
      <c r="A245" s="19"/>
      <c r="B245" s="2" t="s">
        <v>252</v>
      </c>
      <c r="C245" s="2"/>
      <c r="D245" s="19" t="s">
        <v>126</v>
      </c>
      <c r="E245" s="19"/>
      <c r="F245" s="19"/>
      <c r="G245" s="19" t="s">
        <v>127</v>
      </c>
    </row>
    <row r="246" spans="1:7" ht="210" customHeight="1" x14ac:dyDescent="0.25">
      <c r="A246" s="17" t="s">
        <v>30</v>
      </c>
      <c r="B246" s="17" t="s">
        <v>253</v>
      </c>
      <c r="C246" s="17" t="s">
        <v>60</v>
      </c>
      <c r="D246" s="17" t="s">
        <v>61</v>
      </c>
      <c r="E246" s="17" t="s">
        <v>62</v>
      </c>
      <c r="F246" s="18">
        <v>530166.75</v>
      </c>
      <c r="G246" s="17" t="s">
        <v>254</v>
      </c>
    </row>
    <row r="247" spans="1:7" ht="97.5" customHeight="1" x14ac:dyDescent="0.25">
      <c r="A247" s="17" t="s">
        <v>30</v>
      </c>
      <c r="B247" s="17" t="s">
        <v>255</v>
      </c>
      <c r="C247" s="17" t="s">
        <v>60</v>
      </c>
      <c r="D247" s="17" t="s">
        <v>89</v>
      </c>
      <c r="E247" s="17" t="s">
        <v>62</v>
      </c>
      <c r="F247" s="18">
        <v>32538.720000000001</v>
      </c>
      <c r="G247" s="17" t="s">
        <v>256</v>
      </c>
    </row>
    <row r="248" spans="1:7" ht="210" customHeight="1" x14ac:dyDescent="0.25">
      <c r="A248" s="17" t="s">
        <v>30</v>
      </c>
      <c r="B248" s="17" t="s">
        <v>253</v>
      </c>
      <c r="C248" s="17" t="s">
        <v>60</v>
      </c>
      <c r="D248" s="17" t="s">
        <v>92</v>
      </c>
      <c r="E248" s="17" t="s">
        <v>62</v>
      </c>
      <c r="F248" s="18">
        <v>545518.68999999994</v>
      </c>
      <c r="G248" s="17" t="s">
        <v>257</v>
      </c>
    </row>
    <row r="249" spans="1:7" ht="97.5" customHeight="1" x14ac:dyDescent="0.25">
      <c r="A249" s="17" t="s">
        <v>30</v>
      </c>
      <c r="B249" s="17" t="s">
        <v>255</v>
      </c>
      <c r="C249" s="17" t="s">
        <v>60</v>
      </c>
      <c r="D249" s="17" t="s">
        <v>108</v>
      </c>
      <c r="E249" s="17" t="s">
        <v>62</v>
      </c>
      <c r="F249" s="18">
        <v>32518.65</v>
      </c>
      <c r="G249" s="17" t="s">
        <v>258</v>
      </c>
    </row>
    <row r="250" spans="1:7" ht="210" customHeight="1" x14ac:dyDescent="0.25">
      <c r="A250" s="17" t="s">
        <v>30</v>
      </c>
      <c r="B250" s="17" t="s">
        <v>253</v>
      </c>
      <c r="C250" s="17" t="s">
        <v>60</v>
      </c>
      <c r="D250" s="17" t="s">
        <v>109</v>
      </c>
      <c r="E250" s="17" t="s">
        <v>62</v>
      </c>
      <c r="F250" s="18">
        <v>544174.25</v>
      </c>
      <c r="G250" s="17" t="s">
        <v>259</v>
      </c>
    </row>
    <row r="251" spans="1:7" ht="97.5" customHeight="1" x14ac:dyDescent="0.25">
      <c r="A251" s="17" t="s">
        <v>30</v>
      </c>
      <c r="B251" s="17" t="s">
        <v>255</v>
      </c>
      <c r="C251" s="17" t="s">
        <v>60</v>
      </c>
      <c r="D251" s="17" t="s">
        <v>124</v>
      </c>
      <c r="E251" s="17" t="s">
        <v>62</v>
      </c>
      <c r="F251" s="18">
        <v>32310.54</v>
      </c>
      <c r="G251" s="17" t="s">
        <v>260</v>
      </c>
    </row>
    <row r="252" spans="1:7" ht="13.5" customHeight="1" x14ac:dyDescent="0.25">
      <c r="A252" s="19"/>
      <c r="B252" s="2" t="s">
        <v>261</v>
      </c>
      <c r="C252" s="2"/>
      <c r="D252" s="19" t="s">
        <v>126</v>
      </c>
      <c r="E252" s="19"/>
      <c r="F252" s="19"/>
      <c r="G252" s="19" t="s">
        <v>127</v>
      </c>
    </row>
    <row r="253" spans="1:7" ht="13.5" customHeight="1" x14ac:dyDescent="0.25">
      <c r="A253" s="20"/>
      <c r="B253" s="1" t="s">
        <v>262</v>
      </c>
      <c r="C253" s="1"/>
      <c r="D253" s="20" t="s">
        <v>126</v>
      </c>
      <c r="E253" s="20"/>
      <c r="F253" s="20"/>
      <c r="G253" s="20" t="s">
        <v>127</v>
      </c>
    </row>
  </sheetData>
  <mergeCells count="34">
    <mergeCell ref="B252:C252"/>
    <mergeCell ref="B253:C253"/>
    <mergeCell ref="B194:C194"/>
    <mergeCell ref="B229:C229"/>
    <mergeCell ref="B234:C234"/>
    <mergeCell ref="B241:C241"/>
    <mergeCell ref="B245:C245"/>
    <mergeCell ref="B131:C131"/>
    <mergeCell ref="B135:C135"/>
    <mergeCell ref="B142:C142"/>
    <mergeCell ref="B149:C149"/>
    <mergeCell ref="B167:C167"/>
    <mergeCell ref="B79:C79"/>
    <mergeCell ref="B96:C96"/>
    <mergeCell ref="B108:C108"/>
    <mergeCell ref="B117:C117"/>
    <mergeCell ref="B127:C127"/>
    <mergeCell ref="A7:D7"/>
    <mergeCell ref="E7:G7"/>
    <mergeCell ref="A8:D8"/>
    <mergeCell ref="E8:G8"/>
    <mergeCell ref="B71:C71"/>
    <mergeCell ref="A4:D4"/>
    <mergeCell ref="E4:G4"/>
    <mergeCell ref="A5:D5"/>
    <mergeCell ref="E5:G5"/>
    <mergeCell ref="A6:D6"/>
    <mergeCell ref="E6:G6"/>
    <mergeCell ref="A1:D1"/>
    <mergeCell ref="E1:G1"/>
    <mergeCell ref="A2:D2"/>
    <mergeCell ref="E2:G2"/>
    <mergeCell ref="A3:D3"/>
    <mergeCell ref="E3:G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zoomScaleNormal="100" workbookViewId="0">
      <selection activeCell="H31" sqref="H31"/>
    </sheetView>
  </sheetViews>
  <sheetFormatPr defaultColWidth="8.570312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Summary</vt:lpstr>
      <vt:lpstr>1Q</vt:lpstr>
      <vt:lpstr>2Q</vt:lpstr>
      <vt:lpstr>3Q</vt:lpstr>
      <vt:lpstr>4Q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Sheryl Brown</dc:creator>
  <dc:description/>
  <cp:lastModifiedBy>kyle tomlinson</cp:lastModifiedBy>
  <cp:revision>0</cp:revision>
  <dcterms:created xsi:type="dcterms:W3CDTF">2026-10-22T20:35:58Z</dcterms:created>
  <dcterms:modified xsi:type="dcterms:W3CDTF">2026-10-26T14:24:27Z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f29660-d0f5-4a37-a1c1-d09a84e403e5_ActionId">
    <vt:lpwstr>cff4fea6-f762-45ba-bb66-78fadb1ccb0e</vt:lpwstr>
  </property>
  <property fmtid="{D5CDD505-2E9C-101B-9397-08002B2CF9AE}" pid="3" name="MSIP_Label_48f29660-d0f5-4a37-a1c1-d09a84e403e5_ContentBits">
    <vt:lpwstr>0</vt:lpwstr>
  </property>
  <property fmtid="{D5CDD505-2E9C-101B-9397-08002B2CF9AE}" pid="4" name="MSIP_Label_48f29660-d0f5-4a37-a1c1-d09a84e403e5_Enabled">
    <vt:lpwstr>true</vt:lpwstr>
  </property>
  <property fmtid="{D5CDD505-2E9C-101B-9397-08002B2CF9AE}" pid="5" name="MSIP_Label_48f29660-d0f5-4a37-a1c1-d09a84e403e5_Method">
    <vt:lpwstr>Privileged</vt:lpwstr>
  </property>
  <property fmtid="{D5CDD505-2E9C-101B-9397-08002B2CF9AE}" pid="6" name="MSIP_Label_48f29660-d0f5-4a37-a1c1-d09a84e403e5_Name">
    <vt:lpwstr>Public</vt:lpwstr>
  </property>
  <property fmtid="{D5CDD505-2E9C-101B-9397-08002B2CF9AE}" pid="7" name="MSIP_Label_48f29660-d0f5-4a37-a1c1-d09a84e403e5_SetDate">
    <vt:lpwstr>2026-10-22T20:40:21Z</vt:lpwstr>
  </property>
  <property fmtid="{D5CDD505-2E9C-101B-9397-08002B2CF9AE}" pid="8" name="MSIP_Label_48f29660-d0f5-4a37-a1c1-d09a84e403e5_SiteId">
    <vt:lpwstr>abd01cdb-e4e0-44db-b7eb-0451eda895e8</vt:lpwstr>
  </property>
  <property fmtid="{D5CDD505-2E9C-101B-9397-08002B2CF9AE}" pid="9" name="MSIP_Label_48f29660-d0f5-4a37-a1c1-d09a84e403e5_Tag">
    <vt:lpwstr>10, 0, 1, 1</vt:lpwstr>
  </property>
</Properties>
</file>